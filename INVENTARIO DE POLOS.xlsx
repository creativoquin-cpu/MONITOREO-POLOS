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LOS\"/>
    </mc:Choice>
  </mc:AlternateContent>
  <xr:revisionPtr revIDLastSave="0" documentId="13_ncr:1_{96E1AB29-7F14-4F7F-AF1E-FA3421B1118B}" xr6:coauthVersionLast="47" xr6:coauthVersionMax="47" xr10:uidLastSave="{00000000-0000-0000-0000-000000000000}"/>
  <bookViews>
    <workbookView xWindow="-103" yWindow="-103" windowWidth="38506" windowHeight="19683" activeTab="1" xr2:uid="{B373936B-8CCD-4F7E-AEF5-17EC744A7172}"/>
  </bookViews>
  <sheets>
    <sheet name="Instrucciones" sheetId="1" r:id="rId1"/>
    <sheet name="Clasificación" sheetId="2" r:id="rId2"/>
    <sheet name="Resumen" sheetId="3" r:id="rId3"/>
    <sheet name="Inventario_de_Telas" sheetId="4" r:id="rId4"/>
  </sheets>
  <definedNames>
    <definedName name="_xlnm._FilterDatabase" localSheetId="1" hidden="1">Clasificación!$A$2:$H$254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9" i="3" s="1"/>
  <c r="B5" i="3"/>
  <c r="B8" i="3" s="1"/>
  <c r="B4" i="3"/>
  <c r="B7" i="3" s="1"/>
  <c r="B3" i="3"/>
  <c r="B28" i="4"/>
  <c r="E25" i="4"/>
  <c r="D25" i="4"/>
  <c r="G23" i="4"/>
  <c r="F23" i="4"/>
  <c r="C23" i="4"/>
  <c r="G22" i="4"/>
  <c r="F22" i="4"/>
  <c r="C22" i="4"/>
  <c r="G21" i="4"/>
  <c r="F21" i="4"/>
  <c r="F25" i="4" s="1"/>
  <c r="C21" i="4"/>
  <c r="B27" i="4" s="1"/>
  <c r="G20" i="4"/>
  <c r="F20" i="4"/>
  <c r="C20" i="4"/>
  <c r="G19" i="4"/>
  <c r="F19" i="4"/>
  <c r="C19" i="4"/>
  <c r="G18" i="4"/>
  <c r="F18" i="4"/>
  <c r="C18" i="4"/>
  <c r="G17" i="4"/>
  <c r="F17" i="4"/>
  <c r="C17" i="4"/>
  <c r="G16" i="4"/>
  <c r="F16" i="4"/>
  <c r="C16" i="4"/>
  <c r="G15" i="4"/>
  <c r="F15" i="4"/>
  <c r="C15" i="4"/>
  <c r="G14" i="4"/>
  <c r="F14" i="4"/>
  <c r="C14" i="4"/>
  <c r="G13" i="4"/>
  <c r="F13" i="4"/>
  <c r="C13" i="4"/>
  <c r="G12" i="4"/>
  <c r="F12" i="4"/>
  <c r="C12" i="4"/>
  <c r="G11" i="4"/>
  <c r="F11" i="4"/>
  <c r="C11" i="4"/>
  <c r="G10" i="4"/>
  <c r="F10" i="4"/>
  <c r="C10" i="4"/>
  <c r="G9" i="4"/>
  <c r="F9" i="4"/>
  <c r="C9" i="4"/>
  <c r="G8" i="4"/>
  <c r="F8" i="4"/>
  <c r="C8" i="4"/>
  <c r="G7" i="4"/>
  <c r="F7" i="4"/>
  <c r="C7" i="4"/>
  <c r="G6" i="4"/>
  <c r="F6" i="4"/>
  <c r="C6" i="4"/>
  <c r="G5" i="4"/>
  <c r="F5" i="4"/>
  <c r="C5" i="4"/>
  <c r="G4" i="4"/>
  <c r="F4" i="4"/>
  <c r="C4" i="4"/>
  <c r="G3" i="4"/>
  <c r="F3" i="4"/>
  <c r="C3" i="4"/>
  <c r="G254" i="2"/>
  <c r="H254" i="2" s="1"/>
  <c r="G253" i="2"/>
  <c r="H253" i="2" s="1"/>
  <c r="H252" i="2"/>
  <c r="G252" i="2"/>
  <c r="G251" i="2"/>
  <c r="H251" i="2" s="1"/>
  <c r="G250" i="2"/>
  <c r="H250" i="2" s="1"/>
  <c r="G249" i="2"/>
  <c r="H249" i="2" s="1"/>
  <c r="G248" i="2"/>
  <c r="H248" i="2" s="1"/>
  <c r="H247" i="2"/>
  <c r="G247" i="2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H240" i="2"/>
  <c r="G240" i="2"/>
  <c r="G239" i="2"/>
  <c r="H239" i="2" s="1"/>
  <c r="G238" i="2"/>
  <c r="H238" i="2" s="1"/>
  <c r="G237" i="2"/>
  <c r="H237" i="2" s="1"/>
  <c r="G236" i="2"/>
  <c r="H236" i="2" s="1"/>
  <c r="H235" i="2"/>
  <c r="G235" i="2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H223" i="2"/>
  <c r="G223" i="2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H199" i="2"/>
  <c r="G199" i="2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H120" i="2"/>
  <c r="G120" i="2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H108" i="2"/>
  <c r="G108" i="2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H96" i="2"/>
  <c r="G96" i="2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H79" i="2"/>
  <c r="G79" i="2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H67" i="2"/>
  <c r="G67" i="2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H55" i="2"/>
  <c r="G55" i="2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B12" i="3" l="1"/>
  <c r="B13" i="3" s="1"/>
  <c r="B11" i="3"/>
  <c r="B10" i="3"/>
</calcChain>
</file>

<file path=xl/sharedStrings.xml><?xml version="1.0" encoding="utf-8"?>
<sst xmlns="http://schemas.openxmlformats.org/spreadsheetml/2006/main" count="596" uniqueCount="574">
  <si>
    <t>KLIXMANT — Clasificación de Inventario: Tela Antigua vs. Tela Nueva</t>
  </si>
  <si>
    <t>¿Para qué sirve este archivo?</t>
  </si>
  <si>
    <t>Es tu inventario actual (mismas 251 referencias) con dos columnas nuevas para que, a medida que revises cada prenda al tacto, marques cuántas unidades de esa referencia son de tela antigua y cuántas son de tela nueva.</t>
  </si>
  <si>
    <t>Cómo usarlo (hoja 'Clasificación')</t>
  </si>
  <si>
    <t>1. Ve fila por fila (ya vienen ordenadas por referencia, igual que tu inventario original).</t>
  </si>
  <si>
    <t>2. En la columna E 'Tela antigua', escribe cuántas unidades de esa referencia son tela antigua.</t>
  </si>
  <si>
    <t>3. En la columna F 'Tela nueva', escribe cuántas unidades son tela nueva.</t>
  </si>
  <si>
    <t>4. La columna G 'Diferencia' se calcula sola: si queda en 0, esa fila ya está 100% clasificada.</t>
  </si>
  <si>
    <t>5. Si la columna G se pone en rojo, esa referencia no suma bien contra el stock total — revísala.</t>
  </si>
  <si>
    <t>6. Puedes dejar en blanco las referencias que aún no revises; solo cuentan las que ya marcaste.</t>
  </si>
  <si>
    <t>7. La hoja 'Resumen' se actualiza sola con los totales generales y el avance de la clasificación.</t>
  </si>
  <si>
    <t>Convención de color</t>
  </si>
  <si>
    <t>Celdas doradas claras = las únicas que debes editar (Tela antigua / Tela nueva).</t>
  </si>
  <si>
    <t>El resto de columnas son de solo lectura: vienen de tu inventario original.</t>
  </si>
  <si>
    <t>Clasificación de inventario — Tela antigua vs. Tela nueva</t>
  </si>
  <si>
    <t>ID</t>
  </si>
  <si>
    <t>Nombre</t>
  </si>
  <si>
    <t>Referencia</t>
  </si>
  <si>
    <t>Stock total empresa</t>
  </si>
  <si>
    <t>Tela antigua</t>
  </si>
  <si>
    <t>Tela nueva</t>
  </si>
  <si>
    <t>Diferencia</t>
  </si>
  <si>
    <t>Estado</t>
  </si>
  <si>
    <t>BCVL ML NEGRO L</t>
  </si>
  <si>
    <t>BCVLMLNEGROL</t>
  </si>
  <si>
    <t>BCVL ML NEGRO 2XL</t>
  </si>
  <si>
    <t>BCVLMLNEGRO2XL</t>
  </si>
  <si>
    <t>BCVL ML NEGRO 3XL</t>
  </si>
  <si>
    <t>BCVLMLNEGRO3XL</t>
  </si>
  <si>
    <t>BCVL ML GRIS JASPE M</t>
  </si>
  <si>
    <t>BCVLMLGRISJASPEM</t>
  </si>
  <si>
    <t>BCVL ML ROJO L</t>
  </si>
  <si>
    <t>BCVLMLROJOL</t>
  </si>
  <si>
    <t>BCVL ML ROSADO M</t>
  </si>
  <si>
    <t>BCVLMLROSADOM</t>
  </si>
  <si>
    <t>BCVL ML VERDE AGUA S</t>
  </si>
  <si>
    <t>BCVLMLVERDEAGUAS</t>
  </si>
  <si>
    <t>BCVL ML VERDE AGUA M</t>
  </si>
  <si>
    <t>BCVLMLVERDEAGUAM</t>
  </si>
  <si>
    <t>BCVL ML BLANCO S</t>
  </si>
  <si>
    <t>BCVLMLBLANCOS</t>
  </si>
  <si>
    <t>BCVL ML BLANCO XL</t>
  </si>
  <si>
    <t>BCVLMLBLANCOXL</t>
  </si>
  <si>
    <t>BCVL ML AZUL REY M</t>
  </si>
  <si>
    <t>BCVLMLAZULREYM</t>
  </si>
  <si>
    <t>BCVL ML MOSTAZA XL</t>
  </si>
  <si>
    <t>BCVLMLMOSTAZAXL</t>
  </si>
  <si>
    <t>BCVL ML CAQUI S</t>
  </si>
  <si>
    <t>BCVLMLCAQUIS</t>
  </si>
  <si>
    <t>BCVL ML CAQUI M</t>
  </si>
  <si>
    <t>BCVLMLCAQUIM</t>
  </si>
  <si>
    <t>BCVL ML CAQUI XL</t>
  </si>
  <si>
    <t>BCVLMLCAQUIXL</t>
  </si>
  <si>
    <t>BCVL ML CELESTE S</t>
  </si>
  <si>
    <t>BCVLMLCELESTES</t>
  </si>
  <si>
    <t>B2 ML NEGRO S</t>
  </si>
  <si>
    <t>B2MLNEGROS</t>
  </si>
  <si>
    <t>B2 ML NEGRO 2XL</t>
  </si>
  <si>
    <t>B2MLNEGRO2XL</t>
  </si>
  <si>
    <t>B2 ML GRIS JASPE S</t>
  </si>
  <si>
    <t>B2MLGRISJASPES</t>
  </si>
  <si>
    <t>B2 ML GRIS JASPE XL</t>
  </si>
  <si>
    <t>B2MLGRISJASPEXL</t>
  </si>
  <si>
    <t>B2 ML GRIS JASPE 2XL</t>
  </si>
  <si>
    <t>B2MLGRISJASPE2XL</t>
  </si>
  <si>
    <t>B2 ML ROJO M</t>
  </si>
  <si>
    <t>B2MLROJOM</t>
  </si>
  <si>
    <t>B2 ML ROSADO M</t>
  </si>
  <si>
    <t>B2MLROSADOM</t>
  </si>
  <si>
    <t>B2 ML VERDE AGUA M</t>
  </si>
  <si>
    <t>B2MLVERDEAGUAM</t>
  </si>
  <si>
    <t>B2 ML VERDE AGUA L</t>
  </si>
  <si>
    <t>B2MLVERDEAGUAL</t>
  </si>
  <si>
    <t>B2 ML BLANCO S</t>
  </si>
  <si>
    <t>B2MLBLANCOS</t>
  </si>
  <si>
    <t>B2 ML BLANCO M</t>
  </si>
  <si>
    <t>B2MLBLANCOM</t>
  </si>
  <si>
    <t>B2 ML BLANCO 2XL</t>
  </si>
  <si>
    <t>B2MLBLANCO2XL</t>
  </si>
  <si>
    <t>B2 ML AMARILLO M</t>
  </si>
  <si>
    <t>B2MLAMARILLOM</t>
  </si>
  <si>
    <t>B2 ML AMARILLO XL</t>
  </si>
  <si>
    <t>B2MLAMARILLOXL</t>
  </si>
  <si>
    <t>B2 ML MOSTAZA S</t>
  </si>
  <si>
    <t>B2MLMOSTAZAS</t>
  </si>
  <si>
    <t>B2 ML MOSTAZA M</t>
  </si>
  <si>
    <t>B2MLMOSTAZAM</t>
  </si>
  <si>
    <t>B2 ML CAQUI M</t>
  </si>
  <si>
    <t>B2MLCAQUIM</t>
  </si>
  <si>
    <t>B2 ML CAQUI L</t>
  </si>
  <si>
    <t>B2MLCAQUIL</t>
  </si>
  <si>
    <t>B2 ML CELESTE S</t>
  </si>
  <si>
    <t>B2MLCELESTES</t>
  </si>
  <si>
    <t>B3 ML NEGRO M</t>
  </si>
  <si>
    <t>B3MLNEGROM</t>
  </si>
  <si>
    <t>B4 ML NEGRO BLANCO 3XL</t>
  </si>
  <si>
    <t>B4MLNEGROBLANCO3XL</t>
  </si>
  <si>
    <t>B4 ML R NEGRO BLANCO XS</t>
  </si>
  <si>
    <t>B4MLRNEGROBLANCOXS</t>
  </si>
  <si>
    <t>B4 ML R NEGRO BLANCO M</t>
  </si>
  <si>
    <t>B4MLRNEGROBLANCOM</t>
  </si>
  <si>
    <t>B4 ML R NEGRO BLANCO XL</t>
  </si>
  <si>
    <t>B4MLRNEGROBLANCOXL</t>
  </si>
  <si>
    <t>B4 ML R NEGRO ROJO M</t>
  </si>
  <si>
    <t>B4MLRNEGROROJOM</t>
  </si>
  <si>
    <t>B4 ML R NEGRO ROJO XL</t>
  </si>
  <si>
    <t>B4MLRNEGROROJOXL</t>
  </si>
  <si>
    <t>B4 ML R GRIS JASPE S</t>
  </si>
  <si>
    <t>B4MLRGRISJASPES</t>
  </si>
  <si>
    <t>B4 ML R GRIS JASPE M</t>
  </si>
  <si>
    <t>B4MLRGRISJASPEM</t>
  </si>
  <si>
    <t>B4 ML R GRIS JASPE L</t>
  </si>
  <si>
    <t>B4MLRGRISJASPEL</t>
  </si>
  <si>
    <t>B4 ML R GRIS JASPE XL</t>
  </si>
  <si>
    <t>B4MLRGRISJASPEXL</t>
  </si>
  <si>
    <t>B4 ML R GRIS JASPE 2XL</t>
  </si>
  <si>
    <t>B4MLRGRISJASPE2XL</t>
  </si>
  <si>
    <t>B4 ML R ROSADO M</t>
  </si>
  <si>
    <t>B4MLRROSADOM</t>
  </si>
  <si>
    <t>B4 ML R ROSADO L</t>
  </si>
  <si>
    <t>B4MLRROSADOL</t>
  </si>
  <si>
    <t>B4 ML R ROSADO XL</t>
  </si>
  <si>
    <t>B4MLRROSADOXL</t>
  </si>
  <si>
    <t>B4 ML R ROSADO 2XL</t>
  </si>
  <si>
    <t>B4MLRROSADO2XL</t>
  </si>
  <si>
    <t>B4 ML R VERDE AGUA L</t>
  </si>
  <si>
    <t>B4MLRVERDEAGUAL</t>
  </si>
  <si>
    <t>B4 ML R VERDE AGUA XL</t>
  </si>
  <si>
    <t>B4MLRVERDEAGUAXL</t>
  </si>
  <si>
    <t>B4 ML R VERDE AGUA 2XL</t>
  </si>
  <si>
    <t>B4MLRVERDEAGUA2XL</t>
  </si>
  <si>
    <t>B4 ML R VERDE AGUA 3XL</t>
  </si>
  <si>
    <t>B4MLRVERDEAGUA3XL</t>
  </si>
  <si>
    <t>B4 ML R AZUL OSCURO S</t>
  </si>
  <si>
    <t>B4MLRAZULOSCUROS</t>
  </si>
  <si>
    <t>B4 ML R AZUL OSCURO M</t>
  </si>
  <si>
    <t>B4MLRAZULOSCUROM</t>
  </si>
  <si>
    <t>B4 ML R AZUL OSCURO L</t>
  </si>
  <si>
    <t>B4MLRAZULOSCUROL</t>
  </si>
  <si>
    <t>B4 ML R AZUL OSCURO XL</t>
  </si>
  <si>
    <t>B4MLRAZULOSCUROXL</t>
  </si>
  <si>
    <t>B4 ML R AZUL OSCURO 2XL</t>
  </si>
  <si>
    <t>B4MLRAZULOSCURO2XL</t>
  </si>
  <si>
    <t>B4 ML R BLANCO S</t>
  </si>
  <si>
    <t>B4MLRBLANCOS</t>
  </si>
  <si>
    <t>B4 ML R BLANCO M</t>
  </si>
  <si>
    <t>B4MLRBLANCOM</t>
  </si>
  <si>
    <t>B4 ML R BLANCO L</t>
  </si>
  <si>
    <t>B4MLRBLANCOL</t>
  </si>
  <si>
    <t>B4 ML R BLANCO XL</t>
  </si>
  <si>
    <t>B4MLRBLANCOXL</t>
  </si>
  <si>
    <t>B4 ML R AZUL REY XS</t>
  </si>
  <si>
    <t>B4MLRAZULREYXS</t>
  </si>
  <si>
    <t>B4 ML R AZUL REY XL</t>
  </si>
  <si>
    <t>B4MLRAZULREYXL</t>
  </si>
  <si>
    <t>B4 ML R AMARILLO S</t>
  </si>
  <si>
    <t>B4MLRAMARILLOS</t>
  </si>
  <si>
    <t>B4 ML R MOSTAZA S</t>
  </si>
  <si>
    <t>B4MLRMOSTAZAS</t>
  </si>
  <si>
    <t>B4 ML R MOSTAZA M</t>
  </si>
  <si>
    <t>B4MLRMOSTAZAM</t>
  </si>
  <si>
    <t>B4 ML R MOSTAZA L</t>
  </si>
  <si>
    <t>B4MLRMOSTAZAL</t>
  </si>
  <si>
    <t>B4 ML R MOSTAZA XL</t>
  </si>
  <si>
    <t>B4MLRMOSTAZAXL</t>
  </si>
  <si>
    <t>B4 ML R MOSTAZA 2XL</t>
  </si>
  <si>
    <t>B4MLRMOSTAZA2XL</t>
  </si>
  <si>
    <t>B4 ML R MOSTAZA 3XL</t>
  </si>
  <si>
    <t>B4MLRMOSTAZA3XL</t>
  </si>
  <si>
    <t>B4 ML R CAQUI XS</t>
  </si>
  <si>
    <t>B4MLRCAQUIXS</t>
  </si>
  <si>
    <t>B4 ML R CAQUI S</t>
  </si>
  <si>
    <t>B4MLRCAQUIS</t>
  </si>
  <si>
    <t>B4 ML R CAQUI XL</t>
  </si>
  <si>
    <t>B4MLRCAQUIXL</t>
  </si>
  <si>
    <t>B4 ML R ROJO VINO S</t>
  </si>
  <si>
    <t>B4MLRROJOVINOS</t>
  </si>
  <si>
    <t>B4 ML R ROJO VINO L</t>
  </si>
  <si>
    <t>B4MLRROJOVINOL</t>
  </si>
  <si>
    <t>B4 ML R ROJO VINO 2XL</t>
  </si>
  <si>
    <t>B4MLRROJOVINO2XL</t>
  </si>
  <si>
    <t>B4 ML R CELESTE XS</t>
  </si>
  <si>
    <t>B4MLRCELESTEXS</t>
  </si>
  <si>
    <t>B4 ML R CELESTE S</t>
  </si>
  <si>
    <t>B4MLRCELESTES</t>
  </si>
  <si>
    <t>B4 ML R CELESTE M</t>
  </si>
  <si>
    <t>B4MLRCELESTEM</t>
  </si>
  <si>
    <t>B4 ML R CELESTE L</t>
  </si>
  <si>
    <t>B4MLRCELESTEL</t>
  </si>
  <si>
    <t>B4 ML R CELESTE XL</t>
  </si>
  <si>
    <t>B4MLRCELESTEXL</t>
  </si>
  <si>
    <t>B4 ML R CELESTE 2XL</t>
  </si>
  <si>
    <t>B4MLRCELESTE2XL</t>
  </si>
  <si>
    <t>B4 ML R CELESTE 3XL</t>
  </si>
  <si>
    <t>B4MLRCELESTE3XL</t>
  </si>
  <si>
    <t>B4 MC R V NEGRO ROJO  XS</t>
  </si>
  <si>
    <t>B4MCRVNEGROROJOXS</t>
  </si>
  <si>
    <t>B4 MC R V AZUL REY  XS</t>
  </si>
  <si>
    <t>B4MCRVAZULREYXS</t>
  </si>
  <si>
    <t>B4 MC R V NEGRO BLANCO  S</t>
  </si>
  <si>
    <t>B4MCRVNEGROBLANCOS</t>
  </si>
  <si>
    <t>B4 MC R V NEGRO ROJO  S</t>
  </si>
  <si>
    <t>B4MCRVNEGROROJOS</t>
  </si>
  <si>
    <t>B4 MC R V GRIS JASPE  S</t>
  </si>
  <si>
    <t>B4MCRVGRISJASPES</t>
  </si>
  <si>
    <t>B4 MC R V ROSADO  S</t>
  </si>
  <si>
    <t>B4MCRVROSADOS</t>
  </si>
  <si>
    <t>B4 MC R V AZUL OSCURO  S</t>
  </si>
  <si>
    <t>B4MCRVAZULOSCUROS</t>
  </si>
  <si>
    <t>B4 MC R V MOSTAZA  S</t>
  </si>
  <si>
    <t>B4MCRVMOSTAZAS</t>
  </si>
  <si>
    <t>B4 MC R V ROJO VINO  S</t>
  </si>
  <si>
    <t>B4MCRVROJOVINOS</t>
  </si>
  <si>
    <t>B4 MC R V CELESTE  S</t>
  </si>
  <si>
    <t>B4MCRVCELESTES</t>
  </si>
  <si>
    <t>B4 MC R V NEGRO ROJO  M</t>
  </si>
  <si>
    <t>B4MCRVNEGROROJOM</t>
  </si>
  <si>
    <t>B4 MC R V ROSADO  M</t>
  </si>
  <si>
    <t>B4MCRVROSADOM</t>
  </si>
  <si>
    <t>B4 MC R V AZUL OSCURO  M</t>
  </si>
  <si>
    <t>B4MCRVAZULOSCUROM</t>
  </si>
  <si>
    <t>B4 MC R V BLANCO  M</t>
  </si>
  <si>
    <t>B4MCRVBLANCOM</t>
  </si>
  <si>
    <t>B4 MC R V MOSTAZA  M</t>
  </si>
  <si>
    <t>B4MCRVMOSTAZAM</t>
  </si>
  <si>
    <t>B4 MC R V ROJO VINO  M</t>
  </si>
  <si>
    <t>B4MCRVROJOVINOM</t>
  </si>
  <si>
    <t>B4 MC R V CELESTE  M</t>
  </si>
  <si>
    <t>B4MCRVCELESTEM</t>
  </si>
  <si>
    <t>B4 MC R V NEGRO ROJO  L</t>
  </si>
  <si>
    <t>B4MCRVNEGROROJOL</t>
  </si>
  <si>
    <t>B4 MC R V GRIS JASPE  M</t>
  </si>
  <si>
    <t>B4 MC R V GRIS JASPE  L</t>
  </si>
  <si>
    <t>B4MCRVGRISJASPEL</t>
  </si>
  <si>
    <t>B4 MC R V AZUL OSCURO  L</t>
  </si>
  <si>
    <t>B4MCRVAZULOSCUROL</t>
  </si>
  <si>
    <t>B4 MC R V AZUL REY  L</t>
  </si>
  <si>
    <t>B4MCRVAZULREYL</t>
  </si>
  <si>
    <t>B4 MC R V MOSTAZA  L</t>
  </si>
  <si>
    <t>B4MCRVMOSTAZAL</t>
  </si>
  <si>
    <t>B4 MC R V NEGRO ROJO  XL</t>
  </si>
  <si>
    <t>B4MCRVNEGROROJOXL</t>
  </si>
  <si>
    <t>B4 MC R V BLANCO  XL</t>
  </si>
  <si>
    <t>B4MCRVBLANCOXL</t>
  </si>
  <si>
    <t>B4 MC R V MOSTAZA  XL</t>
  </si>
  <si>
    <t>B4MCRVMOSTAZAXL</t>
  </si>
  <si>
    <t>B4 MC R V ROJO VINO  XL</t>
  </si>
  <si>
    <t>B4MCRVROJOVINOXL</t>
  </si>
  <si>
    <t>B4 MC R V NEGRO ROJO  2XL</t>
  </si>
  <si>
    <t>B4MCRVNEGROROJO2XL</t>
  </si>
  <si>
    <t>B4 MC R V BLANCO  2XL</t>
  </si>
  <si>
    <t>B4MCRVBLANCO2XL</t>
  </si>
  <si>
    <t>B4 MC R V AZUL REY  2XL</t>
  </si>
  <si>
    <t>B4MCRVAZULREY2XL</t>
  </si>
  <si>
    <t>B4 MC R V MOSTAZA  2XL</t>
  </si>
  <si>
    <t>B4MCRVMOSTAZA2XL</t>
  </si>
  <si>
    <t>B4 MC R V ROJO VINO  2XL</t>
  </si>
  <si>
    <t>B4MCRVROJOVINO2XL</t>
  </si>
  <si>
    <t>B4 MC R V CELESTE  2XL</t>
  </si>
  <si>
    <t>B4MCRVCELESTE2XL</t>
  </si>
  <si>
    <t>B4 MC R V AMARILLO  3XL</t>
  </si>
  <si>
    <t>B4MCRVAMARILLO3XL</t>
  </si>
  <si>
    <t>B4 MC R V MOSTAZA  3XL</t>
  </si>
  <si>
    <t>B4MCRVMOSTAZA3XL</t>
  </si>
  <si>
    <t>B4 MC R V CAQUI  3XL</t>
  </si>
  <si>
    <t>B4MCRVCAQUI3XL</t>
  </si>
  <si>
    <t>B4 MC R V ROJO VINO  3XL</t>
  </si>
  <si>
    <t>B4MCRVROJOVINO3XL</t>
  </si>
  <si>
    <t>B4 MC R V CELESTE  3XL</t>
  </si>
  <si>
    <t>B4MCRVCELESTE3XL</t>
  </si>
  <si>
    <t>BCVL ML LILA L</t>
  </si>
  <si>
    <t>BCVLMLLILAL</t>
  </si>
  <si>
    <t>BCVL ML LILA XL</t>
  </si>
  <si>
    <t>BCVLMLLILAXL</t>
  </si>
  <si>
    <t>B2 ML LILA 2XL</t>
  </si>
  <si>
    <t>B2MLLILA2XL</t>
  </si>
  <si>
    <t>B4 ML R LILA S</t>
  </si>
  <si>
    <t>B4MLRLILAS</t>
  </si>
  <si>
    <t>B4 ML R LILA L</t>
  </si>
  <si>
    <t>B4MLRLILAL</t>
  </si>
  <si>
    <t>B4 ML R LILA XL</t>
  </si>
  <si>
    <t>B4MLRLILAXL</t>
  </si>
  <si>
    <t>B4 MC R V LILA  M</t>
  </si>
  <si>
    <t>B4MCRVLILAM</t>
  </si>
  <si>
    <t>B4 MC R V LILA  XL</t>
  </si>
  <si>
    <t>B4MCRVLILAXL</t>
  </si>
  <si>
    <t>B4 ML R NEGRO AZUL 16</t>
  </si>
  <si>
    <t>B4MLRNEGROAZUL16</t>
  </si>
  <si>
    <t>B4 ML R NEGRO AZUL M</t>
  </si>
  <si>
    <t>B4MLRNEGROAZULM</t>
  </si>
  <si>
    <t>B4 ML R NEGRO AZUL XL</t>
  </si>
  <si>
    <t>B4MLRNEGROAZULXL</t>
  </si>
  <si>
    <t>B4 ML R NEGRO AZUL 3XL</t>
  </si>
  <si>
    <t>B4MLRNEGROAZUL3XL</t>
  </si>
  <si>
    <t>BCVL ML VERDE OSCURO M</t>
  </si>
  <si>
    <t>BCVLMLVERDEOSCUROM</t>
  </si>
  <si>
    <t>BCVL ML VERDE OSCURO XL</t>
  </si>
  <si>
    <t>BCVLMLVERDEOSCUROXL</t>
  </si>
  <si>
    <t>B4 ML ROJO NEGRO L</t>
  </si>
  <si>
    <t>B4MLROJONEGROL</t>
  </si>
  <si>
    <t>B4 ML R ROJO NEGRO M</t>
  </si>
  <si>
    <t>B4MLRROJONEGROM</t>
  </si>
  <si>
    <t>B4 ML R ROJO NEGRO L</t>
  </si>
  <si>
    <t>B4MLRROJONEGROL</t>
  </si>
  <si>
    <t>B4 ML R ROJO NEGRO XL</t>
  </si>
  <si>
    <t>B4MLRROJONEGROXL</t>
  </si>
  <si>
    <t>B4 ML R ROJO NEGRO 2XL</t>
  </si>
  <si>
    <t>B4MLRROJONEGRO2XL</t>
  </si>
  <si>
    <t>B4 MC R V ROJO NEGRO  M</t>
  </si>
  <si>
    <t>B4MCRVROJONEGROM</t>
  </si>
  <si>
    <t>B4 MC R V ROJO NEGRO  XL</t>
  </si>
  <si>
    <t>B4MCRVROJONEGROXL</t>
  </si>
  <si>
    <t>B4 ML R ROJO BLANCO S</t>
  </si>
  <si>
    <t>B4MLRROJOBLANCOS</t>
  </si>
  <si>
    <t>B4 ML R ROJO BLANCO M</t>
  </si>
  <si>
    <t>B4MLRROJOBLANCOM</t>
  </si>
  <si>
    <t>B4 ML R ROJO BLANCO L</t>
  </si>
  <si>
    <t>B4MLRROJOBLANCOL</t>
  </si>
  <si>
    <t>B4 ML R ROJO BLANCO 2XL</t>
  </si>
  <si>
    <t>B4MLRROJOBLANCO2XL</t>
  </si>
  <si>
    <t>B4 ML R ROJO BLANCO 3XL</t>
  </si>
  <si>
    <t>B4MLRROJOBLANCO3XL</t>
  </si>
  <si>
    <t>B4 MC R V ROJO BLANCO  S</t>
  </si>
  <si>
    <t>B4MCRVROJOBLANCOS</t>
  </si>
  <si>
    <t>B4 MC R V ROJO BLANCO  3XL</t>
  </si>
  <si>
    <t>B4MCRVROJOBLANCO3XL</t>
  </si>
  <si>
    <t>BCVL ML VERDE MANZANA M</t>
  </si>
  <si>
    <t>BCVLMLVERDEMANZANAM</t>
  </si>
  <si>
    <t>B2 ML VERDE MANZANA M</t>
  </si>
  <si>
    <t>B2MLVERDEMANZANAM</t>
  </si>
  <si>
    <t>B2 ML VERDE MANZANA L</t>
  </si>
  <si>
    <t>B2MLVERDEMANZANAL</t>
  </si>
  <si>
    <t>B2 ML VERDE MANZANA 2XL</t>
  </si>
  <si>
    <t>B2MLVERDEMANZANA2XL</t>
  </si>
  <si>
    <t>B3 ML VERDE MANZANA XL</t>
  </si>
  <si>
    <t>B3MLVERDEMANZANAXL</t>
  </si>
  <si>
    <t>B4 ML VERDE MANZANA XS</t>
  </si>
  <si>
    <t>B4MLVERDEMANZANAXS</t>
  </si>
  <si>
    <t>B4 ML R VERDE MANZANA S</t>
  </si>
  <si>
    <t>B4MLRVERDEMANZANAS</t>
  </si>
  <si>
    <t>B4 ML R VERDE MANZANA M</t>
  </si>
  <si>
    <t>B4MLRVERDEMANZANAM</t>
  </si>
  <si>
    <t>B4 ML R VERDE MANZANA L</t>
  </si>
  <si>
    <t>B4MLRVERDEMANZANAL</t>
  </si>
  <si>
    <t>B4 ML R VERDE MANZANA XL</t>
  </si>
  <si>
    <t>B4MLRVERDEMANZANAXL</t>
  </si>
  <si>
    <t>B4 MC R V VERDE MANZANA  S</t>
  </si>
  <si>
    <t>B4MCRVVERDEMANZANAS</t>
  </si>
  <si>
    <t>B4 MC R V VERDE MANZANA  M</t>
  </si>
  <si>
    <t>B4MCRVVERDEMANZANAM</t>
  </si>
  <si>
    <t>B4 ML R VERDE OLIVO S</t>
  </si>
  <si>
    <t>B4MLRVERDEOLIVOS</t>
  </si>
  <si>
    <t>B4 ML R VERDE OLIVO M</t>
  </si>
  <si>
    <t>B4MLRVERDEOLIVOM</t>
  </si>
  <si>
    <t>B4 ML R VERDE OLIVO L</t>
  </si>
  <si>
    <t>B4MLRVERDEOLIVOL</t>
  </si>
  <si>
    <t>B4 ML R VERDE OLIVO XL</t>
  </si>
  <si>
    <t>B4MLRVERDEOLIVOXL</t>
  </si>
  <si>
    <t>B4 MC R V VERDE OLIVO  2XL</t>
  </si>
  <si>
    <t>B4MCRVVERDEOLIVO2XL</t>
  </si>
  <si>
    <t>B4 ML R VERDE OSCURO BLANCO XS</t>
  </si>
  <si>
    <t>B4MLRVERDEOSCUROBLANCOXS</t>
  </si>
  <si>
    <t>B4 ML R VERDE OSCURO BLANCO S</t>
  </si>
  <si>
    <t>B4MLRVERDEOSCUROBLANCOS</t>
  </si>
  <si>
    <t>B4 ML R VERDE OSCURO BLANCO M</t>
  </si>
  <si>
    <t>B4MLRVERDEOSCUROBLANCOM</t>
  </si>
  <si>
    <t>B4 ML R VERDE OSCURO BLANCO L</t>
  </si>
  <si>
    <t>B4MLRVERDEOSCUROBLANCOL</t>
  </si>
  <si>
    <t>B4 MC R V VERDE OSCURO BLANCO  XS</t>
  </si>
  <si>
    <t>B4MCRVVERDEOSCUROBLANCOXS</t>
  </si>
  <si>
    <t>B4 MC R V VERDE OSCURO BLANCO  S</t>
  </si>
  <si>
    <t>B4MCRVVERDEOSCUROBLANCOS</t>
  </si>
  <si>
    <t>B4 MC R V VERDE OSCURO BLANCO  M</t>
  </si>
  <si>
    <t>B4MCRVVERDEOSCUROBLANCOM</t>
  </si>
  <si>
    <t>B4 MC R V VERDE OSCURO BLANCO  L</t>
  </si>
  <si>
    <t>B4MCRVVERDEOSCUROBLANCOL</t>
  </si>
  <si>
    <t>B4 MC R V VERDE OSCURO BLANCO  XL</t>
  </si>
  <si>
    <t>B4MCRVVERDEOSCUROBLANCOXL</t>
  </si>
  <si>
    <t>B4 ML R VERDE OSCURO NEGRO S</t>
  </si>
  <si>
    <t>B4MLRVERDEOSCURONEGROS</t>
  </si>
  <si>
    <t>B4 ML R VERDE OSCURO NEGRO XL</t>
  </si>
  <si>
    <t>B4MLRVERDEOSCURONEGROXL</t>
  </si>
  <si>
    <t>B4 ML NEGRO NEGRO S</t>
  </si>
  <si>
    <t>B4MLNEGRONEGROS</t>
  </si>
  <si>
    <t>B4 ML NEGRO NEGRO M</t>
  </si>
  <si>
    <t>B4MLNEGRONEGROM</t>
  </si>
  <si>
    <t>B4 ML NEGRO NEGRO L</t>
  </si>
  <si>
    <t>B4MLNEGRONEGROL</t>
  </si>
  <si>
    <t>B4 ML NEGRO NEGRO XL</t>
  </si>
  <si>
    <t>B4MLNEGRONEGROXL</t>
  </si>
  <si>
    <t>B4 ML NEGRO NEGRO 2XL</t>
  </si>
  <si>
    <t>B4MLNEGRONEGRO2XL</t>
  </si>
  <si>
    <t>BC ML NEGRO XS</t>
  </si>
  <si>
    <t>BCMLNEGROXS</t>
  </si>
  <si>
    <t>BC ML NEGRO S</t>
  </si>
  <si>
    <t>BCMLNEGROS</t>
  </si>
  <si>
    <t>BC ML NEGRO M</t>
  </si>
  <si>
    <t>BCMLNEGROM</t>
  </si>
  <si>
    <t>BC ML NEGRO L</t>
  </si>
  <si>
    <t>BCMLNEGROL</t>
  </si>
  <si>
    <t>BC ML NEGRO XL</t>
  </si>
  <si>
    <t>BCMLNEGROXL</t>
  </si>
  <si>
    <t>BC ML NEGRO 2XL</t>
  </si>
  <si>
    <t>BCMLNEGRO2XL</t>
  </si>
  <si>
    <t>BC ML NEGRO 3XL</t>
  </si>
  <si>
    <t>BCMLNEGRO3XL</t>
  </si>
  <si>
    <t>BC ML ROJO S</t>
  </si>
  <si>
    <t>BCMLROJOS</t>
  </si>
  <si>
    <t>BC ML ROJO M</t>
  </si>
  <si>
    <t>BCMLROJOM</t>
  </si>
  <si>
    <t>BC ML ROJO L</t>
  </si>
  <si>
    <t>BCMLROJOL</t>
  </si>
  <si>
    <t>BC ML ROJO XL</t>
  </si>
  <si>
    <t>BCMLROJOXL</t>
  </si>
  <si>
    <t>BC ML ROJO 3XL</t>
  </si>
  <si>
    <t>BCMLROJO3XL</t>
  </si>
  <si>
    <t>BC ML VERDE OSCURO S</t>
  </si>
  <si>
    <t>BCMLVERDEOSCUROS</t>
  </si>
  <si>
    <t>BC ML VERDE OSCURO M</t>
  </si>
  <si>
    <t>BCMLVERDEOSCUROM</t>
  </si>
  <si>
    <t>BC ML VERDE OSCURO L</t>
  </si>
  <si>
    <t>BCMLVERDEOSCUROL</t>
  </si>
  <si>
    <t>BC ML VERDE OSCURO XL</t>
  </si>
  <si>
    <t>BCMLVERDEOSCUROXL</t>
  </si>
  <si>
    <t>BC ML BLANCO M</t>
  </si>
  <si>
    <t>BCMLBLANCOM</t>
  </si>
  <si>
    <t>BC ML BLANCO L</t>
  </si>
  <si>
    <t>BCMLBLANCOL</t>
  </si>
  <si>
    <t>BC ML BLANCO XL</t>
  </si>
  <si>
    <t>BCMLBLANCOXL</t>
  </si>
  <si>
    <t>BC ML BLANCO 3XL</t>
  </si>
  <si>
    <t>BCMLBLANCO3XL</t>
  </si>
  <si>
    <t>BC ML GRIS JASPE S</t>
  </si>
  <si>
    <t>BCMLGRISJASPES</t>
  </si>
  <si>
    <t>BC ML GRIS JASPE XL</t>
  </si>
  <si>
    <t>BCMLGRISJASPEXL</t>
  </si>
  <si>
    <t>BC ML AZUL OSCURO S</t>
  </si>
  <si>
    <t>BCMLAZULOSCUROS</t>
  </si>
  <si>
    <t>BC ML AZUL OSCURO L</t>
  </si>
  <si>
    <t>BCMLAZULOSCUROL</t>
  </si>
  <si>
    <t>BC ML AZUL OSCURO XL</t>
  </si>
  <si>
    <t>BCMLAZULOSCUROXL</t>
  </si>
  <si>
    <t>BC ML AZUL OSCURO 2XL</t>
  </si>
  <si>
    <t>BCMLAZULOSCURO2XL</t>
  </si>
  <si>
    <t>BC MCR NEGRO S</t>
  </si>
  <si>
    <t>BCMCRNEGROS</t>
  </si>
  <si>
    <t>BC MCR NEGRO L</t>
  </si>
  <si>
    <t>BCMCRNEGROL</t>
  </si>
  <si>
    <t>BC MCR NEGRO XL</t>
  </si>
  <si>
    <t>BCMCRNEGROXL</t>
  </si>
  <si>
    <t>BC MCR ROJO S</t>
  </si>
  <si>
    <t>BCMCRROJOS</t>
  </si>
  <si>
    <t>BC MCR ROJO M</t>
  </si>
  <si>
    <t>BCMCRROJOM</t>
  </si>
  <si>
    <t>BC MCR ROJO L</t>
  </si>
  <si>
    <t>BCMCRROJOL</t>
  </si>
  <si>
    <t>BC MCR VERDE OSCURO S</t>
  </si>
  <si>
    <t>BCMCRVERDEOSCUROS</t>
  </si>
  <si>
    <t>BC MCR VERDE OSCURO M</t>
  </si>
  <si>
    <t>BCMCRVERDEOSCUROM</t>
  </si>
  <si>
    <t>BC MCR VERDE OSCURO 2XL</t>
  </si>
  <si>
    <t>BCMCRVERDEOSCURO2XL</t>
  </si>
  <si>
    <t>BC MCR BLANCO XL</t>
  </si>
  <si>
    <t>BCMCRBLANCOXL</t>
  </si>
  <si>
    <t>BC MCR BLANCO 2XL</t>
  </si>
  <si>
    <t>BCMCRBLANCO2XL</t>
  </si>
  <si>
    <t>BC MCR GRIS JASPE XS</t>
  </si>
  <si>
    <t>BCMCRGRISJASPEXS</t>
  </si>
  <si>
    <t>BC MCR GRIS JASPE M</t>
  </si>
  <si>
    <t>BCMCRGRISJASPEM</t>
  </si>
  <si>
    <t>BC MCR GRIS JASPE L</t>
  </si>
  <si>
    <t>BCMCRGRISJASPEL</t>
  </si>
  <si>
    <t>BC MCR GRIS JASPE 2XL</t>
  </si>
  <si>
    <t>BCMCRGRISJASPE2XL</t>
  </si>
  <si>
    <t>BC MCR AZUL OSCURO L</t>
  </si>
  <si>
    <t>BCMCRAZULOSCUROL</t>
  </si>
  <si>
    <t>BC MCR AZUL OSCURO 2XL</t>
  </si>
  <si>
    <t>BCMCRAZULOSCURO2XL</t>
  </si>
  <si>
    <t>B TEX C MC NEGRO ROJO L</t>
  </si>
  <si>
    <t>BTEXCMCNEGROROJOL</t>
  </si>
  <si>
    <t>B TEX C MC NEGRO ROJO 2XL</t>
  </si>
  <si>
    <t>BTEXCMCNEGROROJO2XL</t>
  </si>
  <si>
    <t>B TEX C MC NEGRO ROJO 3XL</t>
  </si>
  <si>
    <t>BTEXCMCNEGROROJO3XL</t>
  </si>
  <si>
    <t>B TEX C ML NEGRO ROJO S</t>
  </si>
  <si>
    <t>BTEXCMLNEGROROJOS</t>
  </si>
  <si>
    <t>B TEX C ML NEGRO ROJO M</t>
  </si>
  <si>
    <t>BTEXCMLNEGROROJOM</t>
  </si>
  <si>
    <t>B TEX C ML NEGRO ROJO L</t>
  </si>
  <si>
    <t>BTEXCMLNEGROROJOL</t>
  </si>
  <si>
    <t>B TEX C ML NEGRO ROJO XL</t>
  </si>
  <si>
    <t>BTEXCMLNEGROROJOXL</t>
  </si>
  <si>
    <t>B TEX C ML NEGRO ROJO 3XL</t>
  </si>
  <si>
    <t>BTEXCMLNEGROROJO3XL</t>
  </si>
  <si>
    <t>B TEX 4 ML NEGRO VERDE S</t>
  </si>
  <si>
    <t>BTEX4MLNEGROVERDES</t>
  </si>
  <si>
    <t>B TEX 4 ML NEGRO VERDE 2XL</t>
  </si>
  <si>
    <t>BTEX4MLNEGROVERDE2XL</t>
  </si>
  <si>
    <t>B TEX C ML NEGRO VERDE S</t>
  </si>
  <si>
    <t>BTEXCMLNEGROVERDES</t>
  </si>
  <si>
    <t>B TEX C ML NEGRO VERDE M</t>
  </si>
  <si>
    <t>BTEXCMLNEGROVERDEM</t>
  </si>
  <si>
    <t>B TEX C ML NEGRO VERDE L</t>
  </si>
  <si>
    <t>BTEXCMLNEGROVERDEL</t>
  </si>
  <si>
    <t>B TEX C ML NEGRO VERDE XL</t>
  </si>
  <si>
    <t>BTEXCMLNEGROVERDEXL</t>
  </si>
  <si>
    <t>B TEX 4 MC NEGRO ROJO L</t>
  </si>
  <si>
    <t>BTEX4MCNEGROROJOL</t>
  </si>
  <si>
    <t>B TEX C MC NEGRO VERDE S</t>
  </si>
  <si>
    <t>BTEXCMCNEGROVERDES</t>
  </si>
  <si>
    <t>B TEX C MC ROJO NEGRO 2XL</t>
  </si>
  <si>
    <t>BTEXCMCROJONEGRO2XL</t>
  </si>
  <si>
    <t>B TEX C MC ROJO NEGRO 3XL</t>
  </si>
  <si>
    <t>BTEXCMCROJONEGRO3XL</t>
  </si>
  <si>
    <t>B TEX C ML NEGRO BLANCO S</t>
  </si>
  <si>
    <t>BTEXCMLNEGROBLANCOS</t>
  </si>
  <si>
    <t>B TEX C ML NEGRO BLANCO M</t>
  </si>
  <si>
    <t>BTEXCMLNEGROBLANCOM</t>
  </si>
  <si>
    <t>B TEX C ML NEGRO BLANCO L</t>
  </si>
  <si>
    <t>BTEXCMLNEGROBLANCOL</t>
  </si>
  <si>
    <t>B TEX C ML NEGRO BLANCO XL</t>
  </si>
  <si>
    <t>BTEXCMLNEGROBLANCOXL</t>
  </si>
  <si>
    <t>B TEX C ML NEGRO BLANCO 2XL</t>
  </si>
  <si>
    <t>BTEXCMLNEGROBLANCO2XL</t>
  </si>
  <si>
    <t>B TEX C ML NEGRO BLANCO 3XL</t>
  </si>
  <si>
    <t>BTEXCMLNEGROBLANCO3XL</t>
  </si>
  <si>
    <t>Resumen de clasificación</t>
  </si>
  <si>
    <t>Referencias totales (filas)</t>
  </si>
  <si>
    <t>Unidades totales en inventario</t>
  </si>
  <si>
    <t>Unidades tela antigua</t>
  </si>
  <si>
    <t>Unidades tela nueva</t>
  </si>
  <si>
    <t>Unidades sin clasificar todavía</t>
  </si>
  <si>
    <t>% tela antigua sobre lo clasificado</t>
  </si>
  <si>
    <t>% tela nueva sobre lo clasificado</t>
  </si>
  <si>
    <t>Referencias ya clasificadas (Diferencia=0)</t>
  </si>
  <si>
    <t>Referencias por revisar (no suman bien)</t>
  </si>
  <si>
    <t>Referencias sin revisar aún</t>
  </si>
  <si>
    <t>% de avance de la clasificación</t>
  </si>
  <si>
    <t>Nota: esta hoja se actualiza sola a medida que llenas las columnas 'Tela antigua' y 'Tela nueva' en la hoja 'Clasificación'. Úsala para saber cuánto llevas del conteo.</t>
  </si>
  <si>
    <t>Inventario de telas — Tela antigua vs. Tela nueva (metros)</t>
  </si>
  <si>
    <t>Tela</t>
  </si>
  <si>
    <t>Color</t>
  </si>
  <si>
    <t>Tipo de tela</t>
  </si>
  <si>
    <t>Cantidad inicial (mts)</t>
  </si>
  <si>
    <t>Cantidad medida ahora (mts)</t>
  </si>
  <si>
    <t>Diferencia vs. inicial (mts)</t>
  </si>
  <si>
    <t>% vs. inicial</t>
  </si>
  <si>
    <t>BUDA</t>
  </si>
  <si>
    <t>NEGRO</t>
  </si>
  <si>
    <t>BLANCO</t>
  </si>
  <si>
    <t>COTTON</t>
  </si>
  <si>
    <t>GRIS</t>
  </si>
  <si>
    <t>CENTAURO</t>
  </si>
  <si>
    <t>VERDE OSCURO</t>
  </si>
  <si>
    <t>CELESTE</t>
  </si>
  <si>
    <t>CATAR</t>
  </si>
  <si>
    <t>GRIS OSCURO</t>
  </si>
  <si>
    <t>ROJO</t>
  </si>
  <si>
    <t>AZUL OSCURO</t>
  </si>
  <si>
    <t>MOSTAZA</t>
  </si>
  <si>
    <t>VERDE MENTA</t>
  </si>
  <si>
    <t>VERDE AGUA</t>
  </si>
  <si>
    <t>LILA</t>
  </si>
  <si>
    <t>FUCSIA</t>
  </si>
  <si>
    <t>HORTENSIA</t>
  </si>
  <si>
    <t>ROSADO</t>
  </si>
  <si>
    <t>VERDE OLIVO</t>
  </si>
  <si>
    <t>TERRACOTA</t>
  </si>
  <si>
    <t>TOTALES</t>
  </si>
  <si>
    <t>Total metros TELA NUEVA (Catar + Cotton)</t>
  </si>
  <si>
    <t>Cottone 229 g/ m2</t>
  </si>
  <si>
    <t>Total metros TELA ANTIGUA (Buda + Centauro)</t>
  </si>
  <si>
    <t>Centauro 178 g/ m2</t>
  </si>
  <si>
    <t>Marca en la columna dorada 'Cantidad medida ahora (mts)' lo que midas físicamente de cada color, así sea más o menos que el registro anterior. Si mides más de lo que había registrado, la Diferencia sale en negativo y el % vs. inicial sale por encima de 100% (resaltado en verde): es una señal de que hay más tela de la que pensabas, no un error. Si agregas un color nuevo sin cantidad inicial, el % mostrará 'Nuevo color' hasta que registres su cantidad inicial en la columna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</si>
</sst>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1D1D2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i/>
      <sz val="10"/>
      <color rgb="FF555555"/>
      <name val="Arial"/>
      <family val="2"/>
    </font>
    <font>
      <i/>
      <sz val="9"/>
      <color rgb="FF55555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4C7C3"/>
        <bgColor rgb="FFF4C7C3"/>
      </patternFill>
    </fill>
    <fill>
      <patternFill patternType="solid">
        <fgColor rgb="FFFFFFFF"/>
        <bgColor rgb="FFFFFFFF"/>
      </patternFill>
    </fill>
    <fill>
      <patternFill patternType="solid">
        <fgColor rgb="FFCFE8CF"/>
        <bgColor rgb="FFCFE8CF"/>
      </patternFill>
    </fill>
    <fill>
      <patternFill patternType="solid">
        <fgColor rgb="FFEDEDED"/>
        <bgColor rgb="FFEDEDED"/>
      </patternFill>
    </fill>
    <fill>
      <patternFill patternType="solid">
        <fgColor rgb="FFCFE0F4"/>
        <bgColor rgb="FFCFE0F4"/>
      </patternFill>
    </fill>
    <fill>
      <patternFill patternType="solid">
        <fgColor rgb="FFE8E8E8"/>
        <bgColor rgb="FFE8E8E8"/>
      </patternFill>
    </fill>
    <fill>
      <patternFill patternType="solid">
        <fgColor rgb="FF1D1D20"/>
        <bgColor rgb="FF1D1D20"/>
      </patternFill>
    </fill>
    <fill>
      <patternFill patternType="solid">
        <fgColor rgb="FF2C2C30"/>
        <bgColor rgb="FF2C2C30"/>
      </patternFill>
    </fill>
    <fill>
      <patternFill patternType="solid">
        <fgColor rgb="FFF6E6BF"/>
        <bgColor rgb="FFF6E6B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7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6" fillId="9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1" borderId="1" xfId="0" applyFont="1" applyFill="1" applyBorder="1"/>
    <xf numFmtId="0" fontId="3" fillId="11" borderId="1" xfId="0" applyFont="1" applyFill="1" applyBorder="1" applyAlignment="1">
      <alignment horizontal="center" vertical="center"/>
    </xf>
    <xf numFmtId="0" fontId="0" fillId="8" borderId="0" xfId="0" applyFill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9" fontId="0" fillId="0" borderId="1" xfId="0" applyNumberFormat="1" applyBorder="1" applyAlignment="1">
      <alignment horizontal="center" vertical="center"/>
    </xf>
    <xf numFmtId="0" fontId="3" fillId="11" borderId="1" xfId="0" applyFont="1" applyFill="1" applyBorder="1"/>
    <xf numFmtId="0" fontId="4" fillId="11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0" fontId="6" fillId="8" borderId="0" xfId="0" applyFont="1" applyFill="1" applyAlignment="1">
      <alignment horizontal="center" vertical="center"/>
    </xf>
    <xf numFmtId="0" fontId="9" fillId="0" borderId="0" xfId="0" applyFont="1" applyAlignment="1">
      <alignment vertical="top" wrapText="1"/>
    </xf>
  </cellXfs>
  <cellStyles count="7">
    <cellStyle name="cf1" xfId="1" xr:uid="{EDBF63BC-7599-4C06-AB8D-E70D9D8F8945}"/>
    <cellStyle name="cf2" xfId="2" xr:uid="{11C1457A-7136-4087-B1CB-6A62E1974EC4}"/>
    <cellStyle name="cf3" xfId="3" xr:uid="{8FA13EA1-C977-4158-9593-CC97716EB832}"/>
    <cellStyle name="cf4" xfId="4" xr:uid="{B5D95B39-1845-4AE4-BF75-6237D3C83911}"/>
    <cellStyle name="cf5" xfId="5" xr:uid="{BB6F35B4-80FF-4AC1-8D62-B6799D90F4B2}"/>
    <cellStyle name="cf6" xfId="6" xr:uid="{DCEC5AEF-F97A-428A-877B-1E52ED9FF800}"/>
    <cellStyle name="Normal" xfId="0" builtinId="0" customBuiltin="1"/>
  </cellStyles>
  <dxfs count="14">
    <dxf>
      <fill>
        <patternFill patternType="solid">
          <fgColor rgb="FFE8E8E8"/>
          <bgColor rgb="FFE8E8E8"/>
        </patternFill>
      </fill>
    </dxf>
    <dxf>
      <fill>
        <patternFill patternType="solid">
          <fgColor rgb="FFCFE8CF"/>
          <bgColor rgb="FFCFE8C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FE8CF"/>
          <bgColor rgb="FFCFE8CF"/>
        </patternFill>
      </fill>
    </dxf>
    <dxf>
      <fill>
        <patternFill patternType="solid">
          <fgColor rgb="FFCFE0F4"/>
          <bgColor rgb="FFCFE0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FE0F4"/>
          <bgColor rgb="FFCFE0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FE8CF"/>
          <bgColor rgb="FFCFE8C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1F30-2371-4842-A557-500F74EF9E46}">
  <dimension ref="B2:B18"/>
  <sheetViews>
    <sheetView workbookViewId="0"/>
  </sheetViews>
  <sheetFormatPr baseColWidth="10" defaultColWidth="8.1640625" defaultRowHeight="14.5" x14ac:dyDescent="0.35"/>
  <cols>
    <col min="1" max="1" width="2.83203125" customWidth="1"/>
    <col min="2" max="2" width="88.9140625" customWidth="1"/>
    <col min="3" max="3" width="8.1640625" customWidth="1"/>
  </cols>
  <sheetData>
    <row r="2" spans="2:2" ht="19.55" customHeight="1" x14ac:dyDescent="0.45">
      <c r="B2" s="1" t="s">
        <v>0</v>
      </c>
    </row>
    <row r="4" spans="2:2" ht="15" customHeight="1" x14ac:dyDescent="0.35">
      <c r="B4" s="2" t="s">
        <v>1</v>
      </c>
    </row>
    <row r="5" spans="2:2" ht="42" customHeight="1" x14ac:dyDescent="0.35">
      <c r="B5" s="3" t="s">
        <v>2</v>
      </c>
    </row>
    <row r="7" spans="2:2" ht="15" customHeight="1" x14ac:dyDescent="0.35">
      <c r="B7" s="2" t="s">
        <v>3</v>
      </c>
    </row>
    <row r="8" spans="2:2" ht="15" customHeight="1" x14ac:dyDescent="0.35">
      <c r="B8" s="4" t="s">
        <v>4</v>
      </c>
    </row>
    <row r="9" spans="2:2" ht="15" customHeight="1" x14ac:dyDescent="0.35">
      <c r="B9" s="4" t="s">
        <v>5</v>
      </c>
    </row>
    <row r="10" spans="2:2" ht="15" customHeight="1" x14ac:dyDescent="0.35">
      <c r="B10" s="4" t="s">
        <v>6</v>
      </c>
    </row>
    <row r="11" spans="2:2" ht="15" customHeight="1" x14ac:dyDescent="0.35">
      <c r="B11" s="4" t="s">
        <v>7</v>
      </c>
    </row>
    <row r="12" spans="2:2" ht="15" customHeight="1" x14ac:dyDescent="0.35">
      <c r="B12" s="4" t="s">
        <v>8</v>
      </c>
    </row>
    <row r="13" spans="2:2" ht="15" customHeight="1" x14ac:dyDescent="0.35">
      <c r="B13" s="4" t="s">
        <v>9</v>
      </c>
    </row>
    <row r="14" spans="2:2" ht="15" customHeight="1" x14ac:dyDescent="0.35">
      <c r="B14" s="4" t="s">
        <v>10</v>
      </c>
    </row>
    <row r="16" spans="2:2" ht="15" customHeight="1" x14ac:dyDescent="0.35">
      <c r="B16" s="2" t="s">
        <v>11</v>
      </c>
    </row>
    <row r="17" spans="2:2" ht="15" customHeight="1" x14ac:dyDescent="0.35">
      <c r="B17" s="5" t="s">
        <v>12</v>
      </c>
    </row>
    <row r="18" spans="2:2" ht="15" customHeight="1" x14ac:dyDescent="0.35">
      <c r="B18" s="5" t="s">
        <v>13</v>
      </c>
    </row>
  </sheetData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9F01-38B2-4A24-9053-2410A4904A28}">
  <sheetPr filterMode="1"/>
  <dimension ref="A1:H254"/>
  <sheetViews>
    <sheetView tabSelected="1" workbookViewId="0">
      <selection activeCell="R243" sqref="R243"/>
    </sheetView>
  </sheetViews>
  <sheetFormatPr baseColWidth="10" defaultColWidth="8.1640625" defaultRowHeight="14.5" x14ac:dyDescent="0.35"/>
  <cols>
    <col min="1" max="1" width="9.33203125" customWidth="1"/>
    <col min="2" max="2" width="29.9140625" customWidth="1"/>
    <col min="3" max="3" width="22.4140625" customWidth="1"/>
    <col min="4" max="4" width="16.83203125" customWidth="1"/>
    <col min="5" max="5" width="17.25" customWidth="1"/>
    <col min="6" max="6" width="13.08203125" customWidth="1"/>
    <col min="7" max="7" width="11.25" customWidth="1"/>
    <col min="8" max="8" width="15" customWidth="1"/>
    <col min="9" max="9" width="8.1640625" customWidth="1"/>
  </cols>
  <sheetData>
    <row r="1" spans="1:8" ht="24" customHeight="1" x14ac:dyDescent="0.35">
      <c r="A1" s="22" t="s">
        <v>14</v>
      </c>
      <c r="B1" s="22"/>
      <c r="C1" s="22"/>
      <c r="D1" s="22"/>
      <c r="E1" s="22"/>
      <c r="F1" s="22"/>
      <c r="G1" s="22"/>
      <c r="H1" s="22"/>
    </row>
    <row r="2" spans="1:8" ht="15" customHeight="1" x14ac:dyDescent="0.3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</row>
    <row r="3" spans="1:8" ht="15" hidden="1" customHeight="1" x14ac:dyDescent="0.35">
      <c r="A3" s="7">
        <v>6896</v>
      </c>
      <c r="B3" s="7" t="s">
        <v>23</v>
      </c>
      <c r="C3" s="7" t="s">
        <v>24</v>
      </c>
      <c r="D3" s="8">
        <v>2</v>
      </c>
      <c r="E3" s="9">
        <v>2</v>
      </c>
      <c r="F3" s="9"/>
      <c r="G3" s="8">
        <f t="shared" ref="G3:G66" si="0">D3-E3-F3</f>
        <v>0</v>
      </c>
      <c r="H3" s="10" t="str">
        <f t="shared" ref="H3:H66" si="1">IF(AND(E3="",F3=""),"Sin revisar",IF(G3=0,"Clasificado","Revisar"))</f>
        <v>Clasificado</v>
      </c>
    </row>
    <row r="4" spans="1:8" ht="15" hidden="1" customHeight="1" x14ac:dyDescent="0.35">
      <c r="A4" s="11">
        <v>6898</v>
      </c>
      <c r="B4" s="11" t="s">
        <v>25</v>
      </c>
      <c r="C4" s="11" t="s">
        <v>26</v>
      </c>
      <c r="D4" s="12">
        <v>1</v>
      </c>
      <c r="E4" s="9">
        <v>1</v>
      </c>
      <c r="F4" s="9"/>
      <c r="G4" s="8">
        <f t="shared" si="0"/>
        <v>0</v>
      </c>
      <c r="H4" s="10" t="str">
        <f t="shared" si="1"/>
        <v>Clasificado</v>
      </c>
    </row>
    <row r="5" spans="1:8" ht="15" hidden="1" customHeight="1" x14ac:dyDescent="0.35">
      <c r="A5" s="7">
        <v>6899</v>
      </c>
      <c r="B5" s="7" t="s">
        <v>27</v>
      </c>
      <c r="C5" s="7" t="s">
        <v>28</v>
      </c>
      <c r="D5" s="8">
        <v>2</v>
      </c>
      <c r="E5" s="9">
        <v>2</v>
      </c>
      <c r="F5" s="9"/>
      <c r="G5" s="8">
        <f t="shared" si="0"/>
        <v>0</v>
      </c>
      <c r="H5" s="10" t="str">
        <f t="shared" si="1"/>
        <v>Clasificado</v>
      </c>
    </row>
    <row r="6" spans="1:8" ht="15" hidden="1" customHeight="1" x14ac:dyDescent="0.35">
      <c r="A6" s="11">
        <v>6940</v>
      </c>
      <c r="B6" s="11" t="s">
        <v>29</v>
      </c>
      <c r="C6" s="11" t="s">
        <v>30</v>
      </c>
      <c r="D6" s="12">
        <v>1</v>
      </c>
      <c r="E6" s="9">
        <v>1</v>
      </c>
      <c r="F6" s="9"/>
      <c r="G6" s="8">
        <f t="shared" si="0"/>
        <v>0</v>
      </c>
      <c r="H6" s="10" t="str">
        <f t="shared" si="1"/>
        <v>Clasificado</v>
      </c>
    </row>
    <row r="7" spans="1:8" ht="15" hidden="1" customHeight="1" x14ac:dyDescent="0.35">
      <c r="A7" s="7">
        <v>6956</v>
      </c>
      <c r="B7" s="7" t="s">
        <v>31</v>
      </c>
      <c r="C7" s="7" t="s">
        <v>32</v>
      </c>
      <c r="D7" s="8">
        <v>1</v>
      </c>
      <c r="E7" s="9">
        <v>1</v>
      </c>
      <c r="F7" s="9"/>
      <c r="G7" s="8">
        <f t="shared" si="0"/>
        <v>0</v>
      </c>
      <c r="H7" s="10" t="str">
        <f t="shared" si="1"/>
        <v>Clasificado</v>
      </c>
    </row>
    <row r="8" spans="1:8" ht="15" hidden="1" customHeight="1" x14ac:dyDescent="0.35">
      <c r="A8" s="11">
        <v>6970</v>
      </c>
      <c r="B8" s="11" t="s">
        <v>33</v>
      </c>
      <c r="C8" s="11" t="s">
        <v>34</v>
      </c>
      <c r="D8" s="12">
        <v>1</v>
      </c>
      <c r="E8" s="9">
        <v>1</v>
      </c>
      <c r="F8" s="9"/>
      <c r="G8" s="8">
        <f t="shared" si="0"/>
        <v>0</v>
      </c>
      <c r="H8" s="10" t="str">
        <f t="shared" si="1"/>
        <v>Clasificado</v>
      </c>
    </row>
    <row r="9" spans="1:8" ht="15" hidden="1" customHeight="1" x14ac:dyDescent="0.35">
      <c r="A9" s="7">
        <v>6984</v>
      </c>
      <c r="B9" s="7" t="s">
        <v>35</v>
      </c>
      <c r="C9" s="7" t="s">
        <v>36</v>
      </c>
      <c r="D9" s="8">
        <v>1</v>
      </c>
      <c r="E9" s="9">
        <v>1</v>
      </c>
      <c r="F9" s="9"/>
      <c r="G9" s="8">
        <f t="shared" si="0"/>
        <v>0</v>
      </c>
      <c r="H9" s="10" t="str">
        <f t="shared" si="1"/>
        <v>Clasificado</v>
      </c>
    </row>
    <row r="10" spans="1:8" ht="15" hidden="1" customHeight="1" x14ac:dyDescent="0.35">
      <c r="A10" s="11">
        <v>6985</v>
      </c>
      <c r="B10" s="11" t="s">
        <v>37</v>
      </c>
      <c r="C10" s="11" t="s">
        <v>38</v>
      </c>
      <c r="D10" s="12">
        <v>1</v>
      </c>
      <c r="E10" s="9">
        <v>1</v>
      </c>
      <c r="F10" s="9"/>
      <c r="G10" s="8">
        <f t="shared" si="0"/>
        <v>0</v>
      </c>
      <c r="H10" s="10" t="str">
        <f t="shared" si="1"/>
        <v>Clasificado</v>
      </c>
    </row>
    <row r="11" spans="1:8" ht="15" hidden="1" customHeight="1" x14ac:dyDescent="0.35">
      <c r="A11" s="7">
        <v>7014</v>
      </c>
      <c r="B11" s="7" t="s">
        <v>39</v>
      </c>
      <c r="C11" s="7" t="s">
        <v>40</v>
      </c>
      <c r="D11" s="8">
        <v>2</v>
      </c>
      <c r="E11" s="9">
        <v>2</v>
      </c>
      <c r="F11" s="9"/>
      <c r="G11" s="8">
        <f t="shared" si="0"/>
        <v>0</v>
      </c>
      <c r="H11" s="10" t="str">
        <f t="shared" si="1"/>
        <v>Clasificado</v>
      </c>
    </row>
    <row r="12" spans="1:8" ht="15" hidden="1" customHeight="1" x14ac:dyDescent="0.35">
      <c r="A12" s="11">
        <v>7017</v>
      </c>
      <c r="B12" s="11" t="s">
        <v>41</v>
      </c>
      <c r="C12" s="11" t="s">
        <v>42</v>
      </c>
      <c r="D12" s="12">
        <v>1</v>
      </c>
      <c r="E12" s="9">
        <v>1</v>
      </c>
      <c r="F12" s="9"/>
      <c r="G12" s="8">
        <f t="shared" si="0"/>
        <v>0</v>
      </c>
      <c r="H12" s="10" t="str">
        <f t="shared" si="1"/>
        <v>Clasificado</v>
      </c>
    </row>
    <row r="13" spans="1:8" ht="15" hidden="1" customHeight="1" x14ac:dyDescent="0.35">
      <c r="A13" s="7">
        <v>7030</v>
      </c>
      <c r="B13" s="7" t="s">
        <v>43</v>
      </c>
      <c r="C13" s="7" t="s">
        <v>44</v>
      </c>
      <c r="D13" s="8">
        <v>1</v>
      </c>
      <c r="E13" s="9">
        <v>1</v>
      </c>
      <c r="F13" s="9"/>
      <c r="G13" s="8">
        <f t="shared" si="0"/>
        <v>0</v>
      </c>
      <c r="H13" s="10" t="str">
        <f t="shared" si="1"/>
        <v>Clasificado</v>
      </c>
    </row>
    <row r="14" spans="1:8" ht="15" hidden="1" customHeight="1" x14ac:dyDescent="0.35">
      <c r="A14" s="11">
        <v>7062</v>
      </c>
      <c r="B14" s="11" t="s">
        <v>45</v>
      </c>
      <c r="C14" s="11" t="s">
        <v>46</v>
      </c>
      <c r="D14" s="12">
        <v>2</v>
      </c>
      <c r="E14" s="9">
        <v>2</v>
      </c>
      <c r="F14" s="9"/>
      <c r="G14" s="8">
        <f t="shared" si="0"/>
        <v>0</v>
      </c>
      <c r="H14" s="10" t="str">
        <f t="shared" si="1"/>
        <v>Clasificado</v>
      </c>
    </row>
    <row r="15" spans="1:8" ht="15" hidden="1" customHeight="1" x14ac:dyDescent="0.35">
      <c r="A15" s="7">
        <v>7104</v>
      </c>
      <c r="B15" s="7" t="s">
        <v>47</v>
      </c>
      <c r="C15" s="7" t="s">
        <v>48</v>
      </c>
      <c r="D15" s="8">
        <v>1</v>
      </c>
      <c r="E15" s="9">
        <v>1</v>
      </c>
      <c r="F15" s="9"/>
      <c r="G15" s="8">
        <f t="shared" si="0"/>
        <v>0</v>
      </c>
      <c r="H15" s="10" t="str">
        <f t="shared" si="1"/>
        <v>Clasificado</v>
      </c>
    </row>
    <row r="16" spans="1:8" ht="15" hidden="1" customHeight="1" x14ac:dyDescent="0.35">
      <c r="A16" s="11">
        <v>7105</v>
      </c>
      <c r="B16" s="11" t="s">
        <v>49</v>
      </c>
      <c r="C16" s="11" t="s">
        <v>50</v>
      </c>
      <c r="D16" s="12">
        <v>1</v>
      </c>
      <c r="E16" s="9">
        <v>1</v>
      </c>
      <c r="F16" s="9"/>
      <c r="G16" s="8">
        <f t="shared" si="0"/>
        <v>0</v>
      </c>
      <c r="H16" s="10" t="str">
        <f t="shared" si="1"/>
        <v>Clasificado</v>
      </c>
    </row>
    <row r="17" spans="1:8" ht="15" hidden="1" customHeight="1" x14ac:dyDescent="0.35">
      <c r="A17" s="7">
        <v>7107</v>
      </c>
      <c r="B17" s="7" t="s">
        <v>51</v>
      </c>
      <c r="C17" s="7" t="s">
        <v>52</v>
      </c>
      <c r="D17" s="8">
        <v>1</v>
      </c>
      <c r="E17" s="9">
        <v>1</v>
      </c>
      <c r="F17" s="9"/>
      <c r="G17" s="8">
        <f t="shared" si="0"/>
        <v>0</v>
      </c>
      <c r="H17" s="10" t="str">
        <f t="shared" si="1"/>
        <v>Clasificado</v>
      </c>
    </row>
    <row r="18" spans="1:8" ht="15" hidden="1" customHeight="1" x14ac:dyDescent="0.35">
      <c r="A18" s="11">
        <v>7134</v>
      </c>
      <c r="B18" s="11" t="s">
        <v>53</v>
      </c>
      <c r="C18" s="11" t="s">
        <v>54</v>
      </c>
      <c r="D18" s="12">
        <v>1</v>
      </c>
      <c r="E18" s="9">
        <v>1</v>
      </c>
      <c r="F18" s="9"/>
      <c r="G18" s="8">
        <f t="shared" si="0"/>
        <v>0</v>
      </c>
      <c r="H18" s="10" t="str">
        <f t="shared" si="1"/>
        <v>Clasificado</v>
      </c>
    </row>
    <row r="19" spans="1:8" ht="15" hidden="1" customHeight="1" x14ac:dyDescent="0.35">
      <c r="A19" s="7">
        <v>7164</v>
      </c>
      <c r="B19" s="7" t="s">
        <v>55</v>
      </c>
      <c r="C19" s="7" t="s">
        <v>56</v>
      </c>
      <c r="D19" s="8">
        <v>1</v>
      </c>
      <c r="E19" s="9">
        <v>1</v>
      </c>
      <c r="F19" s="9"/>
      <c r="G19" s="8">
        <f t="shared" si="0"/>
        <v>0</v>
      </c>
      <c r="H19" s="10" t="str">
        <f t="shared" si="1"/>
        <v>Clasificado</v>
      </c>
    </row>
    <row r="20" spans="1:8" ht="15" hidden="1" customHeight="1" x14ac:dyDescent="0.35">
      <c r="A20" s="11">
        <v>7168</v>
      </c>
      <c r="B20" s="11" t="s">
        <v>57</v>
      </c>
      <c r="C20" s="11" t="s">
        <v>58</v>
      </c>
      <c r="D20" s="12">
        <v>1</v>
      </c>
      <c r="E20" s="9">
        <v>1</v>
      </c>
      <c r="F20" s="9"/>
      <c r="G20" s="8">
        <f t="shared" si="0"/>
        <v>0</v>
      </c>
      <c r="H20" s="10" t="str">
        <f t="shared" si="1"/>
        <v>Clasificado</v>
      </c>
    </row>
    <row r="21" spans="1:8" ht="15" hidden="1" customHeight="1" x14ac:dyDescent="0.35">
      <c r="A21" s="7">
        <v>7209</v>
      </c>
      <c r="B21" s="7" t="s">
        <v>59</v>
      </c>
      <c r="C21" s="7" t="s">
        <v>60</v>
      </c>
      <c r="D21" s="8">
        <v>1</v>
      </c>
      <c r="E21" s="9">
        <v>1</v>
      </c>
      <c r="F21" s="9"/>
      <c r="G21" s="8">
        <f t="shared" si="0"/>
        <v>0</v>
      </c>
      <c r="H21" s="10" t="str">
        <f t="shared" si="1"/>
        <v>Clasificado</v>
      </c>
    </row>
    <row r="22" spans="1:8" ht="15" hidden="1" customHeight="1" x14ac:dyDescent="0.35">
      <c r="A22" s="11">
        <v>7212</v>
      </c>
      <c r="B22" s="11" t="s">
        <v>61</v>
      </c>
      <c r="C22" s="11" t="s">
        <v>62</v>
      </c>
      <c r="D22" s="12">
        <v>1</v>
      </c>
      <c r="E22" s="9">
        <v>1</v>
      </c>
      <c r="F22" s="9"/>
      <c r="G22" s="8">
        <f t="shared" si="0"/>
        <v>0</v>
      </c>
      <c r="H22" s="10" t="str">
        <f t="shared" si="1"/>
        <v>Clasificado</v>
      </c>
    </row>
    <row r="23" spans="1:8" ht="15" hidden="1" customHeight="1" x14ac:dyDescent="0.35">
      <c r="A23" s="7">
        <v>7213</v>
      </c>
      <c r="B23" s="7" t="s">
        <v>63</v>
      </c>
      <c r="C23" s="7" t="s">
        <v>64</v>
      </c>
      <c r="D23" s="8">
        <v>1</v>
      </c>
      <c r="E23" s="9">
        <v>1</v>
      </c>
      <c r="F23" s="9"/>
      <c r="G23" s="8">
        <f t="shared" si="0"/>
        <v>0</v>
      </c>
      <c r="H23" s="10" t="str">
        <f t="shared" si="1"/>
        <v>Clasificado</v>
      </c>
    </row>
    <row r="24" spans="1:8" ht="15" hidden="1" customHeight="1" x14ac:dyDescent="0.35">
      <c r="A24" s="11">
        <v>7225</v>
      </c>
      <c r="B24" s="11" t="s">
        <v>65</v>
      </c>
      <c r="C24" s="11" t="s">
        <v>66</v>
      </c>
      <c r="D24" s="12">
        <v>1</v>
      </c>
      <c r="E24" s="9">
        <v>1</v>
      </c>
      <c r="F24" s="9"/>
      <c r="G24" s="8">
        <f t="shared" si="0"/>
        <v>0</v>
      </c>
      <c r="H24" s="10" t="str">
        <f t="shared" si="1"/>
        <v>Clasificado</v>
      </c>
    </row>
    <row r="25" spans="1:8" ht="15" hidden="1" customHeight="1" x14ac:dyDescent="0.35">
      <c r="A25" s="7">
        <v>7240</v>
      </c>
      <c r="B25" s="7" t="s">
        <v>67</v>
      </c>
      <c r="C25" s="7" t="s">
        <v>68</v>
      </c>
      <c r="D25" s="8">
        <v>2</v>
      </c>
      <c r="E25" s="9">
        <v>2</v>
      </c>
      <c r="F25" s="9"/>
      <c r="G25" s="8">
        <f t="shared" si="0"/>
        <v>0</v>
      </c>
      <c r="H25" s="10" t="str">
        <f t="shared" si="1"/>
        <v>Clasificado</v>
      </c>
    </row>
    <row r="26" spans="1:8" ht="15" hidden="1" customHeight="1" x14ac:dyDescent="0.35">
      <c r="A26" s="11">
        <v>7255</v>
      </c>
      <c r="B26" s="11" t="s">
        <v>69</v>
      </c>
      <c r="C26" s="11" t="s">
        <v>70</v>
      </c>
      <c r="D26" s="12">
        <v>1</v>
      </c>
      <c r="E26" s="9">
        <v>1</v>
      </c>
      <c r="F26" s="9"/>
      <c r="G26" s="8">
        <f t="shared" si="0"/>
        <v>0</v>
      </c>
      <c r="H26" s="10" t="str">
        <f t="shared" si="1"/>
        <v>Clasificado</v>
      </c>
    </row>
    <row r="27" spans="1:8" ht="15" hidden="1" customHeight="1" x14ac:dyDescent="0.35">
      <c r="A27" s="7">
        <v>7256</v>
      </c>
      <c r="B27" s="7" t="s">
        <v>71</v>
      </c>
      <c r="C27" s="7" t="s">
        <v>72</v>
      </c>
      <c r="D27" s="8">
        <v>1</v>
      </c>
      <c r="E27" s="9">
        <v>1</v>
      </c>
      <c r="F27" s="9"/>
      <c r="G27" s="8">
        <f t="shared" si="0"/>
        <v>0</v>
      </c>
      <c r="H27" s="10" t="str">
        <f t="shared" si="1"/>
        <v>Clasificado</v>
      </c>
    </row>
    <row r="28" spans="1:8" ht="15" hidden="1" customHeight="1" x14ac:dyDescent="0.35">
      <c r="A28" s="11">
        <v>7284</v>
      </c>
      <c r="B28" s="11" t="s">
        <v>73</v>
      </c>
      <c r="C28" s="11" t="s">
        <v>74</v>
      </c>
      <c r="D28" s="12">
        <v>2</v>
      </c>
      <c r="E28" s="9">
        <v>2</v>
      </c>
      <c r="F28" s="9"/>
      <c r="G28" s="8">
        <f t="shared" si="0"/>
        <v>0</v>
      </c>
      <c r="H28" s="10" t="str">
        <f t="shared" si="1"/>
        <v>Clasificado</v>
      </c>
    </row>
    <row r="29" spans="1:8" ht="15" hidden="1" customHeight="1" x14ac:dyDescent="0.35">
      <c r="A29" s="7">
        <v>7285</v>
      </c>
      <c r="B29" s="7" t="s">
        <v>75</v>
      </c>
      <c r="C29" s="7" t="s">
        <v>76</v>
      </c>
      <c r="D29" s="8">
        <v>1</v>
      </c>
      <c r="E29" s="9">
        <v>1</v>
      </c>
      <c r="F29" s="9"/>
      <c r="G29" s="8">
        <f t="shared" si="0"/>
        <v>0</v>
      </c>
      <c r="H29" s="10" t="str">
        <f t="shared" si="1"/>
        <v>Clasificado</v>
      </c>
    </row>
    <row r="30" spans="1:8" ht="15" hidden="1" customHeight="1" x14ac:dyDescent="0.35">
      <c r="A30" s="11">
        <v>7288</v>
      </c>
      <c r="B30" s="11" t="s">
        <v>77</v>
      </c>
      <c r="C30" s="11" t="s">
        <v>78</v>
      </c>
      <c r="D30" s="12">
        <v>1</v>
      </c>
      <c r="E30" s="9">
        <v>1</v>
      </c>
      <c r="F30" s="9"/>
      <c r="G30" s="8">
        <f t="shared" si="0"/>
        <v>0</v>
      </c>
      <c r="H30" s="10" t="str">
        <f t="shared" si="1"/>
        <v>Clasificado</v>
      </c>
    </row>
    <row r="31" spans="1:8" ht="15" hidden="1" customHeight="1" x14ac:dyDescent="0.35">
      <c r="A31" s="7">
        <v>7315</v>
      </c>
      <c r="B31" s="7" t="s">
        <v>79</v>
      </c>
      <c r="C31" s="7" t="s">
        <v>80</v>
      </c>
      <c r="D31" s="8">
        <v>1</v>
      </c>
      <c r="E31" s="9">
        <v>1</v>
      </c>
      <c r="F31" s="9"/>
      <c r="G31" s="8">
        <f t="shared" si="0"/>
        <v>0</v>
      </c>
      <c r="H31" s="10" t="str">
        <f t="shared" si="1"/>
        <v>Clasificado</v>
      </c>
    </row>
    <row r="32" spans="1:8" ht="15" hidden="1" customHeight="1" x14ac:dyDescent="0.35">
      <c r="A32" s="11">
        <v>7317</v>
      </c>
      <c r="B32" s="11" t="s">
        <v>81</v>
      </c>
      <c r="C32" s="11" t="s">
        <v>82</v>
      </c>
      <c r="D32" s="12">
        <v>1</v>
      </c>
      <c r="E32" s="9">
        <v>1</v>
      </c>
      <c r="F32" s="9"/>
      <c r="G32" s="8">
        <f t="shared" si="0"/>
        <v>0</v>
      </c>
      <c r="H32" s="10" t="str">
        <f t="shared" si="1"/>
        <v>Clasificado</v>
      </c>
    </row>
    <row r="33" spans="1:8" ht="15" hidden="1" customHeight="1" x14ac:dyDescent="0.35">
      <c r="A33" s="7">
        <v>7329</v>
      </c>
      <c r="B33" s="7" t="s">
        <v>83</v>
      </c>
      <c r="C33" s="7" t="s">
        <v>84</v>
      </c>
      <c r="D33" s="8">
        <v>1</v>
      </c>
      <c r="E33" s="9">
        <v>1</v>
      </c>
      <c r="F33" s="9"/>
      <c r="G33" s="8">
        <f t="shared" si="0"/>
        <v>0</v>
      </c>
      <c r="H33" s="10" t="str">
        <f t="shared" si="1"/>
        <v>Clasificado</v>
      </c>
    </row>
    <row r="34" spans="1:8" ht="15" hidden="1" customHeight="1" x14ac:dyDescent="0.35">
      <c r="A34" s="11">
        <v>7330</v>
      </c>
      <c r="B34" s="11" t="s">
        <v>85</v>
      </c>
      <c r="C34" s="11" t="s">
        <v>86</v>
      </c>
      <c r="D34" s="12">
        <v>2</v>
      </c>
      <c r="E34" s="9">
        <v>2</v>
      </c>
      <c r="F34" s="9"/>
      <c r="G34" s="8">
        <f t="shared" si="0"/>
        <v>0</v>
      </c>
      <c r="H34" s="10" t="str">
        <f t="shared" si="1"/>
        <v>Clasificado</v>
      </c>
    </row>
    <row r="35" spans="1:8" ht="15" hidden="1" customHeight="1" x14ac:dyDescent="0.35">
      <c r="A35" s="7">
        <v>7375</v>
      </c>
      <c r="B35" s="7" t="s">
        <v>87</v>
      </c>
      <c r="C35" s="7" t="s">
        <v>88</v>
      </c>
      <c r="D35" s="8">
        <v>1</v>
      </c>
      <c r="E35" s="9">
        <v>1</v>
      </c>
      <c r="F35" s="9"/>
      <c r="G35" s="8">
        <f t="shared" si="0"/>
        <v>0</v>
      </c>
      <c r="H35" s="10" t="str">
        <f t="shared" si="1"/>
        <v>Clasificado</v>
      </c>
    </row>
    <row r="36" spans="1:8" ht="15" hidden="1" customHeight="1" x14ac:dyDescent="0.35">
      <c r="A36" s="11">
        <v>7376</v>
      </c>
      <c r="B36" s="11" t="s">
        <v>89</v>
      </c>
      <c r="C36" s="11" t="s">
        <v>90</v>
      </c>
      <c r="D36" s="12">
        <v>1</v>
      </c>
      <c r="E36" s="9">
        <v>1</v>
      </c>
      <c r="F36" s="9"/>
      <c r="G36" s="8">
        <f t="shared" si="0"/>
        <v>0</v>
      </c>
      <c r="H36" s="10" t="str">
        <f t="shared" si="1"/>
        <v>Clasificado</v>
      </c>
    </row>
    <row r="37" spans="1:8" ht="15" hidden="1" customHeight="1" x14ac:dyDescent="0.35">
      <c r="A37" s="7">
        <v>7404</v>
      </c>
      <c r="B37" s="7" t="s">
        <v>91</v>
      </c>
      <c r="C37" s="7" t="s">
        <v>92</v>
      </c>
      <c r="D37" s="8">
        <v>2</v>
      </c>
      <c r="E37" s="9">
        <v>2</v>
      </c>
      <c r="F37" s="9"/>
      <c r="G37" s="8">
        <f t="shared" si="0"/>
        <v>0</v>
      </c>
      <c r="H37" s="10" t="str">
        <f t="shared" si="1"/>
        <v>Clasificado</v>
      </c>
    </row>
    <row r="38" spans="1:8" ht="15" hidden="1" customHeight="1" x14ac:dyDescent="0.35">
      <c r="A38" s="11">
        <v>7435</v>
      </c>
      <c r="B38" s="11" t="s">
        <v>93</v>
      </c>
      <c r="C38" s="11" t="s">
        <v>94</v>
      </c>
      <c r="D38" s="12">
        <v>1</v>
      </c>
      <c r="E38" s="9">
        <v>1</v>
      </c>
      <c r="F38" s="9"/>
      <c r="G38" s="8">
        <f t="shared" si="0"/>
        <v>0</v>
      </c>
      <c r="H38" s="10" t="str">
        <f t="shared" si="1"/>
        <v>Clasificado</v>
      </c>
    </row>
    <row r="39" spans="1:8" ht="15" hidden="1" customHeight="1" x14ac:dyDescent="0.35">
      <c r="A39" s="7">
        <v>7724</v>
      </c>
      <c r="B39" s="7" t="s">
        <v>95</v>
      </c>
      <c r="C39" s="7" t="s">
        <v>96</v>
      </c>
      <c r="D39" s="8">
        <v>1</v>
      </c>
      <c r="E39" s="9">
        <v>1</v>
      </c>
      <c r="F39" s="9"/>
      <c r="G39" s="8">
        <f t="shared" si="0"/>
        <v>0</v>
      </c>
      <c r="H39" s="10" t="str">
        <f t="shared" si="1"/>
        <v>Clasificado</v>
      </c>
    </row>
    <row r="40" spans="1:8" ht="15" hidden="1" customHeight="1" x14ac:dyDescent="0.35">
      <c r="A40" s="11">
        <v>7988</v>
      </c>
      <c r="B40" s="11" t="s">
        <v>97</v>
      </c>
      <c r="C40" s="11" t="s">
        <v>98</v>
      </c>
      <c r="D40" s="12">
        <v>1</v>
      </c>
      <c r="E40" s="9">
        <v>1</v>
      </c>
      <c r="F40" s="9"/>
      <c r="G40" s="8">
        <f t="shared" si="0"/>
        <v>0</v>
      </c>
      <c r="H40" s="10" t="str">
        <f t="shared" si="1"/>
        <v>Clasificado</v>
      </c>
    </row>
    <row r="41" spans="1:8" ht="15" hidden="1" customHeight="1" x14ac:dyDescent="0.35">
      <c r="A41" s="7">
        <v>7990</v>
      </c>
      <c r="B41" s="7" t="s">
        <v>99</v>
      </c>
      <c r="C41" s="7" t="s">
        <v>100</v>
      </c>
      <c r="D41" s="8">
        <v>1</v>
      </c>
      <c r="E41" s="9">
        <v>1</v>
      </c>
      <c r="F41" s="9"/>
      <c r="G41" s="8">
        <f t="shared" si="0"/>
        <v>0</v>
      </c>
      <c r="H41" s="10" t="str">
        <f t="shared" si="1"/>
        <v>Clasificado</v>
      </c>
    </row>
    <row r="42" spans="1:8" ht="15" hidden="1" customHeight="1" x14ac:dyDescent="0.35">
      <c r="A42" s="11">
        <v>7992</v>
      </c>
      <c r="B42" s="11" t="s">
        <v>101</v>
      </c>
      <c r="C42" s="11" t="s">
        <v>102</v>
      </c>
      <c r="D42" s="12">
        <v>1</v>
      </c>
      <c r="E42" s="9">
        <v>1</v>
      </c>
      <c r="F42" s="9"/>
      <c r="G42" s="8">
        <f t="shared" si="0"/>
        <v>0</v>
      </c>
      <c r="H42" s="10" t="str">
        <f t="shared" si="1"/>
        <v>Clasificado</v>
      </c>
    </row>
    <row r="43" spans="1:8" ht="15" hidden="1" customHeight="1" x14ac:dyDescent="0.35">
      <c r="A43" s="7">
        <v>8005</v>
      </c>
      <c r="B43" s="7" t="s">
        <v>103</v>
      </c>
      <c r="C43" s="7" t="s">
        <v>104</v>
      </c>
      <c r="D43" s="8">
        <v>60</v>
      </c>
      <c r="E43" s="9">
        <v>60</v>
      </c>
      <c r="F43" s="9"/>
      <c r="G43" s="8">
        <f t="shared" si="0"/>
        <v>0</v>
      </c>
      <c r="H43" s="10" t="str">
        <f t="shared" si="1"/>
        <v>Clasificado</v>
      </c>
    </row>
    <row r="44" spans="1:8" ht="15" hidden="1" customHeight="1" x14ac:dyDescent="0.35">
      <c r="A44" s="11">
        <v>8007</v>
      </c>
      <c r="B44" s="11" t="s">
        <v>105</v>
      </c>
      <c r="C44" s="11" t="s">
        <v>106</v>
      </c>
      <c r="D44" s="12">
        <v>19</v>
      </c>
      <c r="E44" s="9">
        <v>19</v>
      </c>
      <c r="F44" s="9"/>
      <c r="G44" s="8">
        <f t="shared" si="0"/>
        <v>0</v>
      </c>
      <c r="H44" s="10" t="str">
        <f t="shared" si="1"/>
        <v>Clasificado</v>
      </c>
    </row>
    <row r="45" spans="1:8" ht="15" hidden="1" customHeight="1" x14ac:dyDescent="0.35">
      <c r="A45" s="7">
        <v>8019</v>
      </c>
      <c r="B45" s="7" t="s">
        <v>107</v>
      </c>
      <c r="C45" s="7" t="s">
        <v>108</v>
      </c>
      <c r="D45" s="8">
        <v>7</v>
      </c>
      <c r="E45" s="9">
        <v>7</v>
      </c>
      <c r="F45" s="9"/>
      <c r="G45" s="8">
        <f t="shared" si="0"/>
        <v>0</v>
      </c>
      <c r="H45" s="10" t="str">
        <f t="shared" si="1"/>
        <v>Clasificado</v>
      </c>
    </row>
    <row r="46" spans="1:8" ht="15" hidden="1" customHeight="1" x14ac:dyDescent="0.35">
      <c r="A46" s="11">
        <v>8020</v>
      </c>
      <c r="B46" s="11" t="s">
        <v>109</v>
      </c>
      <c r="C46" s="11" t="s">
        <v>110</v>
      </c>
      <c r="D46" s="12">
        <v>10</v>
      </c>
      <c r="E46" s="9">
        <v>10</v>
      </c>
      <c r="F46" s="9"/>
      <c r="G46" s="8">
        <f t="shared" si="0"/>
        <v>0</v>
      </c>
      <c r="H46" s="10" t="str">
        <f t="shared" si="1"/>
        <v>Clasificado</v>
      </c>
    </row>
    <row r="47" spans="1:8" ht="15" hidden="1" customHeight="1" x14ac:dyDescent="0.35">
      <c r="A47" s="7">
        <v>8021</v>
      </c>
      <c r="B47" s="7" t="s">
        <v>111</v>
      </c>
      <c r="C47" s="7" t="s">
        <v>112</v>
      </c>
      <c r="D47" s="8">
        <v>0</v>
      </c>
      <c r="E47" s="9">
        <v>0</v>
      </c>
      <c r="F47" s="9"/>
      <c r="G47" s="8">
        <f t="shared" si="0"/>
        <v>0</v>
      </c>
      <c r="H47" s="10" t="str">
        <f t="shared" si="1"/>
        <v>Clasificado</v>
      </c>
    </row>
    <row r="48" spans="1:8" ht="15" hidden="1" customHeight="1" x14ac:dyDescent="0.35">
      <c r="A48" s="11">
        <v>8022</v>
      </c>
      <c r="B48" s="11" t="s">
        <v>113</v>
      </c>
      <c r="C48" s="11" t="s">
        <v>114</v>
      </c>
      <c r="D48" s="12">
        <v>11</v>
      </c>
      <c r="E48" s="9">
        <v>8</v>
      </c>
      <c r="F48" s="9">
        <v>3</v>
      </c>
      <c r="G48" s="8">
        <f t="shared" si="0"/>
        <v>0</v>
      </c>
      <c r="H48" s="10" t="str">
        <f t="shared" si="1"/>
        <v>Clasificado</v>
      </c>
    </row>
    <row r="49" spans="1:8" ht="15" hidden="1" customHeight="1" x14ac:dyDescent="0.35">
      <c r="A49" s="7">
        <v>8023</v>
      </c>
      <c r="B49" s="7" t="s">
        <v>115</v>
      </c>
      <c r="C49" s="7" t="s">
        <v>116</v>
      </c>
      <c r="D49" s="8">
        <v>3</v>
      </c>
      <c r="E49" s="9">
        <v>3</v>
      </c>
      <c r="F49" s="9"/>
      <c r="G49" s="8">
        <f t="shared" si="0"/>
        <v>0</v>
      </c>
      <c r="H49" s="10" t="str">
        <f t="shared" si="1"/>
        <v>Clasificado</v>
      </c>
    </row>
    <row r="50" spans="1:8" ht="15" hidden="1" customHeight="1" x14ac:dyDescent="0.35">
      <c r="A50" s="11">
        <v>8050</v>
      </c>
      <c r="B50" s="11" t="s">
        <v>117</v>
      </c>
      <c r="C50" s="11" t="s">
        <v>118</v>
      </c>
      <c r="D50" s="12">
        <v>19</v>
      </c>
      <c r="E50" s="9">
        <v>19</v>
      </c>
      <c r="F50" s="9"/>
      <c r="G50" s="8">
        <f t="shared" si="0"/>
        <v>0</v>
      </c>
      <c r="H50" s="10" t="str">
        <f t="shared" si="1"/>
        <v>Clasificado</v>
      </c>
    </row>
    <row r="51" spans="1:8" ht="15" hidden="1" customHeight="1" x14ac:dyDescent="0.35">
      <c r="A51" s="7">
        <v>8051</v>
      </c>
      <c r="B51" s="7" t="s">
        <v>119</v>
      </c>
      <c r="C51" s="7" t="s">
        <v>120</v>
      </c>
      <c r="D51" s="8">
        <v>1</v>
      </c>
      <c r="E51" s="9">
        <v>1</v>
      </c>
      <c r="F51" s="9"/>
      <c r="G51" s="8">
        <f t="shared" si="0"/>
        <v>0</v>
      </c>
      <c r="H51" s="10" t="str">
        <f t="shared" si="1"/>
        <v>Clasificado</v>
      </c>
    </row>
    <row r="52" spans="1:8" ht="15" hidden="1" customHeight="1" x14ac:dyDescent="0.35">
      <c r="A52" s="11">
        <v>8052</v>
      </c>
      <c r="B52" s="11" t="s">
        <v>121</v>
      </c>
      <c r="C52" s="11" t="s">
        <v>122</v>
      </c>
      <c r="D52" s="12">
        <v>2</v>
      </c>
      <c r="E52" s="9">
        <v>2</v>
      </c>
      <c r="F52" s="9"/>
      <c r="G52" s="8">
        <f t="shared" si="0"/>
        <v>0</v>
      </c>
      <c r="H52" s="10" t="str">
        <f t="shared" si="1"/>
        <v>Clasificado</v>
      </c>
    </row>
    <row r="53" spans="1:8" ht="15" hidden="1" customHeight="1" x14ac:dyDescent="0.35">
      <c r="A53" s="7">
        <v>8053</v>
      </c>
      <c r="B53" s="7" t="s">
        <v>123</v>
      </c>
      <c r="C53" s="7" t="s">
        <v>124</v>
      </c>
      <c r="D53" s="8">
        <v>2</v>
      </c>
      <c r="E53" s="9">
        <v>2</v>
      </c>
      <c r="F53" s="9"/>
      <c r="G53" s="8">
        <f t="shared" si="0"/>
        <v>0</v>
      </c>
      <c r="H53" s="10" t="str">
        <f t="shared" si="1"/>
        <v>Clasificado</v>
      </c>
    </row>
    <row r="54" spans="1:8" ht="15" hidden="1" customHeight="1" x14ac:dyDescent="0.35">
      <c r="A54" s="11">
        <v>8066</v>
      </c>
      <c r="B54" s="11" t="s">
        <v>125</v>
      </c>
      <c r="C54" s="11" t="s">
        <v>126</v>
      </c>
      <c r="D54" s="12">
        <v>0</v>
      </c>
      <c r="E54" s="9">
        <v>0</v>
      </c>
      <c r="F54" s="9"/>
      <c r="G54" s="8">
        <f t="shared" si="0"/>
        <v>0</v>
      </c>
      <c r="H54" s="10" t="str">
        <f t="shared" si="1"/>
        <v>Clasificado</v>
      </c>
    </row>
    <row r="55" spans="1:8" ht="15" hidden="1" customHeight="1" x14ac:dyDescent="0.35">
      <c r="A55" s="7">
        <v>8067</v>
      </c>
      <c r="B55" s="7" t="s">
        <v>127</v>
      </c>
      <c r="C55" s="7" t="s">
        <v>128</v>
      </c>
      <c r="D55" s="8">
        <v>1</v>
      </c>
      <c r="E55" s="9">
        <v>1</v>
      </c>
      <c r="F55" s="9"/>
      <c r="G55" s="8">
        <f t="shared" si="0"/>
        <v>0</v>
      </c>
      <c r="H55" s="10" t="str">
        <f t="shared" si="1"/>
        <v>Clasificado</v>
      </c>
    </row>
    <row r="56" spans="1:8" ht="15" hidden="1" customHeight="1" x14ac:dyDescent="0.35">
      <c r="A56" s="11">
        <v>8068</v>
      </c>
      <c r="B56" s="11" t="s">
        <v>129</v>
      </c>
      <c r="C56" s="11" t="s">
        <v>130</v>
      </c>
      <c r="D56" s="12">
        <v>1</v>
      </c>
      <c r="E56" s="9">
        <v>1</v>
      </c>
      <c r="F56" s="9"/>
      <c r="G56" s="8">
        <f t="shared" si="0"/>
        <v>0</v>
      </c>
      <c r="H56" s="10" t="str">
        <f t="shared" si="1"/>
        <v>Clasificado</v>
      </c>
    </row>
    <row r="57" spans="1:8" ht="15" hidden="1" customHeight="1" x14ac:dyDescent="0.35">
      <c r="A57" s="7">
        <v>8069</v>
      </c>
      <c r="B57" s="7" t="s">
        <v>131</v>
      </c>
      <c r="C57" s="7" t="s">
        <v>132</v>
      </c>
      <c r="D57" s="8">
        <v>1</v>
      </c>
      <c r="E57" s="9">
        <v>1</v>
      </c>
      <c r="F57" s="9"/>
      <c r="G57" s="8">
        <f t="shared" si="0"/>
        <v>0</v>
      </c>
      <c r="H57" s="10" t="str">
        <f t="shared" si="1"/>
        <v>Clasificado</v>
      </c>
    </row>
    <row r="58" spans="1:8" ht="15" hidden="1" customHeight="1" x14ac:dyDescent="0.35">
      <c r="A58" s="11">
        <v>8079</v>
      </c>
      <c r="B58" s="11" t="s">
        <v>133</v>
      </c>
      <c r="C58" s="11" t="s">
        <v>134</v>
      </c>
      <c r="D58" s="12">
        <v>0</v>
      </c>
      <c r="E58" s="9"/>
      <c r="F58" s="9">
        <v>1</v>
      </c>
      <c r="G58" s="8">
        <f t="shared" si="0"/>
        <v>-1</v>
      </c>
      <c r="H58" s="10" t="str">
        <f t="shared" si="1"/>
        <v>Revisar</v>
      </c>
    </row>
    <row r="59" spans="1:8" ht="15" hidden="1" customHeight="1" x14ac:dyDescent="0.35">
      <c r="A59" s="7">
        <v>8080</v>
      </c>
      <c r="B59" s="7" t="s">
        <v>135</v>
      </c>
      <c r="C59" s="7" t="s">
        <v>136</v>
      </c>
      <c r="D59" s="8">
        <v>0</v>
      </c>
      <c r="E59" s="9">
        <v>0</v>
      </c>
      <c r="F59" s="9"/>
      <c r="G59" s="8">
        <f t="shared" si="0"/>
        <v>0</v>
      </c>
      <c r="H59" s="10" t="str">
        <f t="shared" si="1"/>
        <v>Clasificado</v>
      </c>
    </row>
    <row r="60" spans="1:8" ht="15" hidden="1" customHeight="1" x14ac:dyDescent="0.35">
      <c r="A60" s="11">
        <v>8081</v>
      </c>
      <c r="B60" s="11" t="s">
        <v>137</v>
      </c>
      <c r="C60" s="11" t="s">
        <v>138</v>
      </c>
      <c r="D60" s="12">
        <v>0</v>
      </c>
      <c r="E60" s="9">
        <v>0</v>
      </c>
      <c r="F60" s="9"/>
      <c r="G60" s="8">
        <f t="shared" si="0"/>
        <v>0</v>
      </c>
      <c r="H60" s="10" t="str">
        <f t="shared" si="1"/>
        <v>Clasificado</v>
      </c>
    </row>
    <row r="61" spans="1:8" ht="15" hidden="1" customHeight="1" x14ac:dyDescent="0.35">
      <c r="A61" s="7">
        <v>8082</v>
      </c>
      <c r="B61" s="7" t="s">
        <v>139</v>
      </c>
      <c r="C61" s="7" t="s">
        <v>140</v>
      </c>
      <c r="D61" s="8">
        <v>0</v>
      </c>
      <c r="E61" s="9">
        <v>0</v>
      </c>
      <c r="F61" s="9"/>
      <c r="G61" s="8">
        <f t="shared" si="0"/>
        <v>0</v>
      </c>
      <c r="H61" s="10" t="str">
        <f t="shared" si="1"/>
        <v>Clasificado</v>
      </c>
    </row>
    <row r="62" spans="1:8" ht="15" hidden="1" customHeight="1" x14ac:dyDescent="0.35">
      <c r="A62" s="11">
        <v>8083</v>
      </c>
      <c r="B62" s="11" t="s">
        <v>141</v>
      </c>
      <c r="C62" s="11" t="s">
        <v>142</v>
      </c>
      <c r="D62" s="12">
        <v>0</v>
      </c>
      <c r="E62" s="9">
        <v>0</v>
      </c>
      <c r="F62" s="9"/>
      <c r="G62" s="8">
        <f t="shared" si="0"/>
        <v>0</v>
      </c>
      <c r="H62" s="10" t="str">
        <f t="shared" si="1"/>
        <v>Clasificado</v>
      </c>
    </row>
    <row r="63" spans="1:8" ht="15" hidden="1" customHeight="1" x14ac:dyDescent="0.35">
      <c r="A63" s="7">
        <v>8094</v>
      </c>
      <c r="B63" s="7" t="s">
        <v>143</v>
      </c>
      <c r="C63" s="7" t="s">
        <v>144</v>
      </c>
      <c r="D63" s="8">
        <v>5</v>
      </c>
      <c r="E63" s="9"/>
      <c r="F63" s="9">
        <v>5</v>
      </c>
      <c r="G63" s="8">
        <f t="shared" si="0"/>
        <v>0</v>
      </c>
      <c r="H63" s="10" t="str">
        <f t="shared" si="1"/>
        <v>Clasificado</v>
      </c>
    </row>
    <row r="64" spans="1:8" ht="15" hidden="1" customHeight="1" x14ac:dyDescent="0.35">
      <c r="A64" s="11">
        <v>8095</v>
      </c>
      <c r="B64" s="11" t="s">
        <v>145</v>
      </c>
      <c r="C64" s="11" t="s">
        <v>146</v>
      </c>
      <c r="D64" s="12">
        <v>2</v>
      </c>
      <c r="E64" s="9"/>
      <c r="F64" s="9">
        <v>2</v>
      </c>
      <c r="G64" s="8">
        <f t="shared" si="0"/>
        <v>0</v>
      </c>
      <c r="H64" s="10" t="str">
        <f t="shared" si="1"/>
        <v>Clasificado</v>
      </c>
    </row>
    <row r="65" spans="1:8" ht="15" hidden="1" customHeight="1" x14ac:dyDescent="0.35">
      <c r="A65" s="7">
        <v>8096</v>
      </c>
      <c r="B65" s="7" t="s">
        <v>147</v>
      </c>
      <c r="C65" s="7" t="s">
        <v>148</v>
      </c>
      <c r="D65" s="8">
        <v>8</v>
      </c>
      <c r="E65" s="9"/>
      <c r="F65" s="9">
        <v>2</v>
      </c>
      <c r="G65" s="8">
        <f t="shared" si="0"/>
        <v>6</v>
      </c>
      <c r="H65" s="10" t="str">
        <f t="shared" si="1"/>
        <v>Revisar</v>
      </c>
    </row>
    <row r="66" spans="1:8" ht="15" hidden="1" customHeight="1" x14ac:dyDescent="0.35">
      <c r="A66" s="11">
        <v>8097</v>
      </c>
      <c r="B66" s="11" t="s">
        <v>149</v>
      </c>
      <c r="C66" s="11" t="s">
        <v>150</v>
      </c>
      <c r="D66" s="12">
        <v>1</v>
      </c>
      <c r="E66" s="9"/>
      <c r="F66" s="9">
        <v>1</v>
      </c>
      <c r="G66" s="8">
        <f t="shared" si="0"/>
        <v>0</v>
      </c>
      <c r="H66" s="10" t="str">
        <f t="shared" si="1"/>
        <v>Clasificado</v>
      </c>
    </row>
    <row r="67" spans="1:8" ht="15" hidden="1" customHeight="1" x14ac:dyDescent="0.35">
      <c r="A67" s="7">
        <v>8108</v>
      </c>
      <c r="B67" s="7" t="s">
        <v>151</v>
      </c>
      <c r="C67" s="7" t="s">
        <v>152</v>
      </c>
      <c r="D67" s="8">
        <v>1</v>
      </c>
      <c r="E67" s="9">
        <v>1</v>
      </c>
      <c r="F67" s="9"/>
      <c r="G67" s="8">
        <f t="shared" ref="G67:G130" si="2">D67-E67-F67</f>
        <v>0</v>
      </c>
      <c r="H67" s="10" t="str">
        <f t="shared" ref="H67:H130" si="3">IF(AND(E67="",F67=""),"Sin revisar",IF(G67=0,"Clasificado","Revisar"))</f>
        <v>Clasificado</v>
      </c>
    </row>
    <row r="68" spans="1:8" ht="15" hidden="1" customHeight="1" x14ac:dyDescent="0.35">
      <c r="A68" s="11">
        <v>8112</v>
      </c>
      <c r="B68" s="11" t="s">
        <v>153</v>
      </c>
      <c r="C68" s="11" t="s">
        <v>154</v>
      </c>
      <c r="D68" s="12">
        <v>7</v>
      </c>
      <c r="E68" s="9">
        <v>7</v>
      </c>
      <c r="F68" s="9"/>
      <c r="G68" s="8">
        <f t="shared" si="2"/>
        <v>0</v>
      </c>
      <c r="H68" s="10" t="str">
        <f t="shared" si="3"/>
        <v>Clasificado</v>
      </c>
    </row>
    <row r="69" spans="1:8" ht="15" hidden="1" customHeight="1" x14ac:dyDescent="0.35">
      <c r="A69" s="7">
        <v>8124</v>
      </c>
      <c r="B69" s="7" t="s">
        <v>155</v>
      </c>
      <c r="C69" s="7" t="s">
        <v>156</v>
      </c>
      <c r="D69" s="8">
        <v>5</v>
      </c>
      <c r="E69" s="9">
        <v>5</v>
      </c>
      <c r="F69" s="9"/>
      <c r="G69" s="8">
        <f t="shared" si="2"/>
        <v>0</v>
      </c>
      <c r="H69" s="10" t="str">
        <f t="shared" si="3"/>
        <v>Clasificado</v>
      </c>
    </row>
    <row r="70" spans="1:8" ht="15" hidden="1" customHeight="1" x14ac:dyDescent="0.35">
      <c r="A70" s="11">
        <v>8139</v>
      </c>
      <c r="B70" s="11" t="s">
        <v>157</v>
      </c>
      <c r="C70" s="11" t="s">
        <v>158</v>
      </c>
      <c r="D70" s="12">
        <v>12</v>
      </c>
      <c r="E70" s="9">
        <v>12</v>
      </c>
      <c r="F70" s="9"/>
      <c r="G70" s="8">
        <f t="shared" si="2"/>
        <v>0</v>
      </c>
      <c r="H70" s="10" t="str">
        <f t="shared" si="3"/>
        <v>Clasificado</v>
      </c>
    </row>
    <row r="71" spans="1:8" ht="15" hidden="1" customHeight="1" x14ac:dyDescent="0.35">
      <c r="A71" s="7">
        <v>8140</v>
      </c>
      <c r="B71" s="7" t="s">
        <v>159</v>
      </c>
      <c r="C71" s="7" t="s">
        <v>160</v>
      </c>
      <c r="D71" s="8">
        <v>29</v>
      </c>
      <c r="E71" s="9">
        <v>29</v>
      </c>
      <c r="F71" s="9"/>
      <c r="G71" s="8">
        <f t="shared" si="2"/>
        <v>0</v>
      </c>
      <c r="H71" s="10" t="str">
        <f t="shared" si="3"/>
        <v>Clasificado</v>
      </c>
    </row>
    <row r="72" spans="1:8" ht="15" hidden="1" customHeight="1" x14ac:dyDescent="0.35">
      <c r="A72" s="11">
        <v>8141</v>
      </c>
      <c r="B72" s="11" t="s">
        <v>161</v>
      </c>
      <c r="C72" s="11" t="s">
        <v>162</v>
      </c>
      <c r="D72" s="12">
        <v>20</v>
      </c>
      <c r="E72" s="9">
        <v>20</v>
      </c>
      <c r="F72" s="9"/>
      <c r="G72" s="8">
        <f t="shared" si="2"/>
        <v>0</v>
      </c>
      <c r="H72" s="10" t="str">
        <f t="shared" si="3"/>
        <v>Clasificado</v>
      </c>
    </row>
    <row r="73" spans="1:8" ht="15" hidden="1" customHeight="1" x14ac:dyDescent="0.35">
      <c r="A73" s="7">
        <v>8142</v>
      </c>
      <c r="B73" s="7" t="s">
        <v>163</v>
      </c>
      <c r="C73" s="7" t="s">
        <v>164</v>
      </c>
      <c r="D73" s="8">
        <v>1</v>
      </c>
      <c r="E73" s="9">
        <v>1</v>
      </c>
      <c r="F73" s="9"/>
      <c r="G73" s="8">
        <f t="shared" si="2"/>
        <v>0</v>
      </c>
      <c r="H73" s="10" t="str">
        <f t="shared" si="3"/>
        <v>Clasificado</v>
      </c>
    </row>
    <row r="74" spans="1:8" ht="15" hidden="1" customHeight="1" x14ac:dyDescent="0.35">
      <c r="A74" s="11">
        <v>8143</v>
      </c>
      <c r="B74" s="11" t="s">
        <v>165</v>
      </c>
      <c r="C74" s="11" t="s">
        <v>166</v>
      </c>
      <c r="D74" s="12">
        <v>1</v>
      </c>
      <c r="E74" s="9">
        <v>1</v>
      </c>
      <c r="F74" s="9"/>
      <c r="G74" s="8">
        <f t="shared" si="2"/>
        <v>0</v>
      </c>
      <c r="H74" s="10" t="str">
        <f t="shared" si="3"/>
        <v>Clasificado</v>
      </c>
    </row>
    <row r="75" spans="1:8" ht="15" hidden="1" customHeight="1" x14ac:dyDescent="0.35">
      <c r="A75" s="7">
        <v>8144</v>
      </c>
      <c r="B75" s="7" t="s">
        <v>167</v>
      </c>
      <c r="C75" s="7" t="s">
        <v>168</v>
      </c>
      <c r="D75" s="8">
        <v>1</v>
      </c>
      <c r="E75" s="9">
        <v>1</v>
      </c>
      <c r="F75" s="9"/>
      <c r="G75" s="8">
        <f t="shared" si="2"/>
        <v>0</v>
      </c>
      <c r="H75" s="10" t="str">
        <f t="shared" si="3"/>
        <v>Clasificado</v>
      </c>
    </row>
    <row r="76" spans="1:8" ht="15" hidden="1" customHeight="1" x14ac:dyDescent="0.35">
      <c r="A76" s="11">
        <v>8183</v>
      </c>
      <c r="B76" s="11" t="s">
        <v>169</v>
      </c>
      <c r="C76" s="11" t="s">
        <v>170</v>
      </c>
      <c r="D76" s="12">
        <v>2</v>
      </c>
      <c r="E76" s="9">
        <v>2</v>
      </c>
      <c r="F76" s="9"/>
      <c r="G76" s="8">
        <f t="shared" si="2"/>
        <v>0</v>
      </c>
      <c r="H76" s="10" t="str">
        <f t="shared" si="3"/>
        <v>Clasificado</v>
      </c>
    </row>
    <row r="77" spans="1:8" ht="15" hidden="1" customHeight="1" x14ac:dyDescent="0.35">
      <c r="A77" s="7">
        <v>8184</v>
      </c>
      <c r="B77" s="7" t="s">
        <v>171</v>
      </c>
      <c r="C77" s="7" t="s">
        <v>172</v>
      </c>
      <c r="D77" s="8">
        <v>3</v>
      </c>
      <c r="E77" s="9">
        <v>3</v>
      </c>
      <c r="F77" s="9"/>
      <c r="G77" s="8">
        <f t="shared" si="2"/>
        <v>0</v>
      </c>
      <c r="H77" s="10" t="str">
        <f t="shared" si="3"/>
        <v>Clasificado</v>
      </c>
    </row>
    <row r="78" spans="1:8" ht="15" hidden="1" customHeight="1" x14ac:dyDescent="0.35">
      <c r="A78" s="11">
        <v>8187</v>
      </c>
      <c r="B78" s="11" t="s">
        <v>173</v>
      </c>
      <c r="C78" s="11" t="s">
        <v>174</v>
      </c>
      <c r="D78" s="12">
        <v>1</v>
      </c>
      <c r="E78" s="9">
        <v>1</v>
      </c>
      <c r="F78" s="9"/>
      <c r="G78" s="8">
        <f t="shared" si="2"/>
        <v>0</v>
      </c>
      <c r="H78" s="10" t="str">
        <f t="shared" si="3"/>
        <v>Clasificado</v>
      </c>
    </row>
    <row r="79" spans="1:8" ht="15" hidden="1" customHeight="1" x14ac:dyDescent="0.35">
      <c r="A79" s="7">
        <v>8199</v>
      </c>
      <c r="B79" s="7" t="s">
        <v>175</v>
      </c>
      <c r="C79" s="7" t="s">
        <v>176</v>
      </c>
      <c r="D79" s="8">
        <v>1</v>
      </c>
      <c r="E79" s="9">
        <v>1</v>
      </c>
      <c r="F79" s="9"/>
      <c r="G79" s="8">
        <f t="shared" si="2"/>
        <v>0</v>
      </c>
      <c r="H79" s="10" t="str">
        <f t="shared" si="3"/>
        <v>Clasificado</v>
      </c>
    </row>
    <row r="80" spans="1:8" ht="15" hidden="1" customHeight="1" x14ac:dyDescent="0.35">
      <c r="A80" s="11">
        <v>8201</v>
      </c>
      <c r="B80" s="11" t="s">
        <v>177</v>
      </c>
      <c r="C80" s="11" t="s">
        <v>178</v>
      </c>
      <c r="D80" s="12">
        <v>3</v>
      </c>
      <c r="E80" s="9">
        <v>3</v>
      </c>
      <c r="F80" s="9"/>
      <c r="G80" s="8">
        <f t="shared" si="2"/>
        <v>0</v>
      </c>
      <c r="H80" s="10" t="str">
        <f t="shared" si="3"/>
        <v>Clasificado</v>
      </c>
    </row>
    <row r="81" spans="1:8" ht="15" hidden="1" customHeight="1" x14ac:dyDescent="0.35">
      <c r="A81" s="7">
        <v>8203</v>
      </c>
      <c r="B81" s="7" t="s">
        <v>179</v>
      </c>
      <c r="C81" s="7" t="s">
        <v>180</v>
      </c>
      <c r="D81" s="8">
        <v>1</v>
      </c>
      <c r="E81" s="9">
        <v>1</v>
      </c>
      <c r="F81" s="9"/>
      <c r="G81" s="8">
        <f t="shared" si="2"/>
        <v>0</v>
      </c>
      <c r="H81" s="10" t="str">
        <f t="shared" si="3"/>
        <v>Clasificado</v>
      </c>
    </row>
    <row r="82" spans="1:8" ht="15" hidden="1" customHeight="1" x14ac:dyDescent="0.35">
      <c r="A82" s="11">
        <v>8213</v>
      </c>
      <c r="B82" s="11" t="s">
        <v>181</v>
      </c>
      <c r="C82" s="11" t="s">
        <v>182</v>
      </c>
      <c r="D82" s="12">
        <v>1</v>
      </c>
      <c r="E82" s="9">
        <v>1</v>
      </c>
      <c r="F82" s="9"/>
      <c r="G82" s="8">
        <f t="shared" si="2"/>
        <v>0</v>
      </c>
      <c r="H82" s="10" t="str">
        <f t="shared" si="3"/>
        <v>Clasificado</v>
      </c>
    </row>
    <row r="83" spans="1:8" ht="15" hidden="1" customHeight="1" x14ac:dyDescent="0.35">
      <c r="A83" s="7">
        <v>8214</v>
      </c>
      <c r="B83" s="7" t="s">
        <v>183</v>
      </c>
      <c r="C83" s="7" t="s">
        <v>184</v>
      </c>
      <c r="D83" s="8">
        <v>1</v>
      </c>
      <c r="E83" s="9">
        <v>1</v>
      </c>
      <c r="F83" s="9"/>
      <c r="G83" s="8">
        <f t="shared" si="2"/>
        <v>0</v>
      </c>
      <c r="H83" s="10" t="str">
        <f t="shared" si="3"/>
        <v>Clasificado</v>
      </c>
    </row>
    <row r="84" spans="1:8" ht="15" hidden="1" customHeight="1" x14ac:dyDescent="0.35">
      <c r="A84" s="11">
        <v>8215</v>
      </c>
      <c r="B84" s="11" t="s">
        <v>185</v>
      </c>
      <c r="C84" s="11" t="s">
        <v>186</v>
      </c>
      <c r="D84" s="12">
        <v>15</v>
      </c>
      <c r="E84" s="9">
        <v>15</v>
      </c>
      <c r="F84" s="9"/>
      <c r="G84" s="8">
        <f t="shared" si="2"/>
        <v>0</v>
      </c>
      <c r="H84" s="10" t="str">
        <f t="shared" si="3"/>
        <v>Clasificado</v>
      </c>
    </row>
    <row r="85" spans="1:8" ht="15" hidden="1" customHeight="1" x14ac:dyDescent="0.35">
      <c r="A85" s="7">
        <v>8216</v>
      </c>
      <c r="B85" s="7" t="s">
        <v>187</v>
      </c>
      <c r="C85" s="7" t="s">
        <v>188</v>
      </c>
      <c r="D85" s="8">
        <v>1</v>
      </c>
      <c r="E85" s="9">
        <v>1</v>
      </c>
      <c r="F85" s="9"/>
      <c r="G85" s="8">
        <f t="shared" si="2"/>
        <v>0</v>
      </c>
      <c r="H85" s="10" t="str">
        <f t="shared" si="3"/>
        <v>Clasificado</v>
      </c>
    </row>
    <row r="86" spans="1:8" ht="15" hidden="1" customHeight="1" x14ac:dyDescent="0.35">
      <c r="A86" s="11">
        <v>8217</v>
      </c>
      <c r="B86" s="11" t="s">
        <v>189</v>
      </c>
      <c r="C86" s="11" t="s">
        <v>190</v>
      </c>
      <c r="D86" s="12">
        <v>3</v>
      </c>
      <c r="E86" s="9">
        <v>3</v>
      </c>
      <c r="F86" s="9"/>
      <c r="G86" s="8">
        <f t="shared" si="2"/>
        <v>0</v>
      </c>
      <c r="H86" s="10" t="str">
        <f t="shared" si="3"/>
        <v>Clasificado</v>
      </c>
    </row>
    <row r="87" spans="1:8" ht="15" hidden="1" customHeight="1" x14ac:dyDescent="0.35">
      <c r="A87" s="7">
        <v>8218</v>
      </c>
      <c r="B87" s="7" t="s">
        <v>191</v>
      </c>
      <c r="C87" s="7" t="s">
        <v>192</v>
      </c>
      <c r="D87" s="8">
        <v>1</v>
      </c>
      <c r="E87" s="9">
        <v>1</v>
      </c>
      <c r="F87" s="9"/>
      <c r="G87" s="8">
        <f t="shared" si="2"/>
        <v>0</v>
      </c>
      <c r="H87" s="10" t="str">
        <f t="shared" si="3"/>
        <v>Clasificado</v>
      </c>
    </row>
    <row r="88" spans="1:8" ht="15" hidden="1" customHeight="1" x14ac:dyDescent="0.35">
      <c r="A88" s="11">
        <v>8219</v>
      </c>
      <c r="B88" s="11" t="s">
        <v>193</v>
      </c>
      <c r="C88" s="11" t="s">
        <v>194</v>
      </c>
      <c r="D88" s="12">
        <v>1</v>
      </c>
      <c r="E88" s="9">
        <v>1</v>
      </c>
      <c r="F88" s="9"/>
      <c r="G88" s="8">
        <f t="shared" si="2"/>
        <v>0</v>
      </c>
      <c r="H88" s="10" t="str">
        <f t="shared" si="3"/>
        <v>Clasificado</v>
      </c>
    </row>
    <row r="89" spans="1:8" ht="15" hidden="1" customHeight="1" x14ac:dyDescent="0.35">
      <c r="A89" s="7">
        <v>11604</v>
      </c>
      <c r="B89" s="7" t="s">
        <v>195</v>
      </c>
      <c r="C89" s="7" t="s">
        <v>196</v>
      </c>
      <c r="D89" s="8">
        <v>1</v>
      </c>
      <c r="E89" s="9">
        <v>1</v>
      </c>
      <c r="F89" s="9"/>
      <c r="G89" s="8">
        <f t="shared" si="2"/>
        <v>0</v>
      </c>
      <c r="H89" s="10" t="str">
        <f t="shared" si="3"/>
        <v>Clasificado</v>
      </c>
    </row>
    <row r="90" spans="1:8" ht="15" hidden="1" customHeight="1" x14ac:dyDescent="0.35">
      <c r="A90" s="11">
        <v>11611</v>
      </c>
      <c r="B90" s="11" t="s">
        <v>197</v>
      </c>
      <c r="C90" s="11" t="s">
        <v>198</v>
      </c>
      <c r="D90" s="12">
        <v>1</v>
      </c>
      <c r="E90" s="9">
        <v>1</v>
      </c>
      <c r="F90" s="9"/>
      <c r="G90" s="8">
        <f t="shared" si="2"/>
        <v>0</v>
      </c>
      <c r="H90" s="10" t="str">
        <f t="shared" si="3"/>
        <v>Clasificado</v>
      </c>
    </row>
    <row r="91" spans="1:8" ht="15" hidden="1" customHeight="1" x14ac:dyDescent="0.35">
      <c r="A91" s="7">
        <v>11621</v>
      </c>
      <c r="B91" s="7" t="s">
        <v>199</v>
      </c>
      <c r="C91" s="7" t="s">
        <v>200</v>
      </c>
      <c r="D91" s="8">
        <v>1</v>
      </c>
      <c r="E91" s="9">
        <v>1</v>
      </c>
      <c r="F91" s="9"/>
      <c r="G91" s="8">
        <f t="shared" si="2"/>
        <v>0</v>
      </c>
      <c r="H91" s="10" t="str">
        <f t="shared" si="3"/>
        <v>Clasificado</v>
      </c>
    </row>
    <row r="92" spans="1:8" ht="15" hidden="1" customHeight="1" x14ac:dyDescent="0.35">
      <c r="A92" s="11">
        <v>11622</v>
      </c>
      <c r="B92" s="11" t="s">
        <v>201</v>
      </c>
      <c r="C92" s="11" t="s">
        <v>202</v>
      </c>
      <c r="D92" s="12">
        <v>2</v>
      </c>
      <c r="E92" s="9">
        <v>2</v>
      </c>
      <c r="F92" s="9"/>
      <c r="G92" s="8">
        <f t="shared" si="2"/>
        <v>0</v>
      </c>
      <c r="H92" s="10" t="str">
        <f t="shared" si="3"/>
        <v>Clasificado</v>
      </c>
    </row>
    <row r="93" spans="1:8" ht="15" hidden="1" customHeight="1" x14ac:dyDescent="0.35">
      <c r="A93" s="7">
        <v>11623</v>
      </c>
      <c r="B93" s="7" t="s">
        <v>203</v>
      </c>
      <c r="C93" s="7" t="s">
        <v>204</v>
      </c>
      <c r="D93" s="8">
        <v>2</v>
      </c>
      <c r="E93" s="9">
        <v>1</v>
      </c>
      <c r="F93" s="9">
        <v>1</v>
      </c>
      <c r="G93" s="8">
        <f t="shared" si="2"/>
        <v>0</v>
      </c>
      <c r="H93" s="10" t="str">
        <f t="shared" si="3"/>
        <v>Clasificado</v>
      </c>
    </row>
    <row r="94" spans="1:8" ht="15" hidden="1" customHeight="1" x14ac:dyDescent="0.35">
      <c r="A94" s="11">
        <v>11625</v>
      </c>
      <c r="B94" s="11" t="s">
        <v>205</v>
      </c>
      <c r="C94" s="11" t="s">
        <v>206</v>
      </c>
      <c r="D94" s="12">
        <v>3</v>
      </c>
      <c r="E94" s="9">
        <v>3</v>
      </c>
      <c r="F94" s="9"/>
      <c r="G94" s="8">
        <f t="shared" si="2"/>
        <v>0</v>
      </c>
      <c r="H94" s="10" t="str">
        <f t="shared" si="3"/>
        <v>Clasificado</v>
      </c>
    </row>
    <row r="95" spans="1:8" ht="15" hidden="1" customHeight="1" x14ac:dyDescent="0.35">
      <c r="A95" s="7">
        <v>11627</v>
      </c>
      <c r="B95" s="7" t="s">
        <v>207</v>
      </c>
      <c r="C95" s="7" t="s">
        <v>208</v>
      </c>
      <c r="D95" s="8">
        <v>1</v>
      </c>
      <c r="E95" s="9">
        <v>1</v>
      </c>
      <c r="F95" s="9"/>
      <c r="G95" s="8">
        <f t="shared" si="2"/>
        <v>0</v>
      </c>
      <c r="H95" s="10" t="str">
        <f t="shared" si="3"/>
        <v>Clasificado</v>
      </c>
    </row>
    <row r="96" spans="1:8" ht="15" hidden="1" customHeight="1" x14ac:dyDescent="0.35">
      <c r="A96" s="11">
        <v>11631</v>
      </c>
      <c r="B96" s="11" t="s">
        <v>209</v>
      </c>
      <c r="C96" s="11" t="s">
        <v>210</v>
      </c>
      <c r="D96" s="12">
        <v>10</v>
      </c>
      <c r="E96" s="9">
        <v>10</v>
      </c>
      <c r="F96" s="9"/>
      <c r="G96" s="8">
        <f t="shared" si="2"/>
        <v>0</v>
      </c>
      <c r="H96" s="10" t="str">
        <f t="shared" si="3"/>
        <v>Clasificado</v>
      </c>
    </row>
    <row r="97" spans="1:8" ht="15" hidden="1" customHeight="1" x14ac:dyDescent="0.35">
      <c r="A97" s="7">
        <v>11635</v>
      </c>
      <c r="B97" s="7" t="s">
        <v>211</v>
      </c>
      <c r="C97" s="7" t="s">
        <v>212</v>
      </c>
      <c r="D97" s="8">
        <v>2</v>
      </c>
      <c r="E97" s="9">
        <v>2</v>
      </c>
      <c r="F97" s="9"/>
      <c r="G97" s="8">
        <f t="shared" si="2"/>
        <v>0</v>
      </c>
      <c r="H97" s="10" t="str">
        <f t="shared" si="3"/>
        <v>Clasificado</v>
      </c>
    </row>
    <row r="98" spans="1:8" ht="15" hidden="1" customHeight="1" x14ac:dyDescent="0.35">
      <c r="A98" s="11">
        <v>11636</v>
      </c>
      <c r="B98" s="11" t="s">
        <v>213</v>
      </c>
      <c r="C98" s="11" t="s">
        <v>214</v>
      </c>
      <c r="D98" s="12">
        <v>1</v>
      </c>
      <c r="E98" s="9">
        <v>1</v>
      </c>
      <c r="F98" s="9"/>
      <c r="G98" s="8">
        <f t="shared" si="2"/>
        <v>0</v>
      </c>
      <c r="H98" s="10" t="str">
        <f t="shared" si="3"/>
        <v>Clasificado</v>
      </c>
    </row>
    <row r="99" spans="1:8" ht="15" hidden="1" customHeight="1" x14ac:dyDescent="0.35">
      <c r="A99" s="7">
        <v>11640</v>
      </c>
      <c r="B99" s="7" t="s">
        <v>215</v>
      </c>
      <c r="C99" s="7" t="s">
        <v>216</v>
      </c>
      <c r="D99" s="8">
        <v>0</v>
      </c>
      <c r="E99" s="9">
        <v>0</v>
      </c>
      <c r="F99" s="9"/>
      <c r="G99" s="8">
        <f t="shared" si="2"/>
        <v>0</v>
      </c>
      <c r="H99" s="10" t="str">
        <f t="shared" si="3"/>
        <v>Clasificado</v>
      </c>
    </row>
    <row r="100" spans="1:8" ht="15" hidden="1" customHeight="1" x14ac:dyDescent="0.35">
      <c r="A100" s="11">
        <v>11643</v>
      </c>
      <c r="B100" s="11" t="s">
        <v>217</v>
      </c>
      <c r="C100" s="11" t="s">
        <v>218</v>
      </c>
      <c r="D100" s="12">
        <v>2</v>
      </c>
      <c r="E100" s="9">
        <v>2</v>
      </c>
      <c r="F100" s="9"/>
      <c r="G100" s="8">
        <f t="shared" si="2"/>
        <v>0</v>
      </c>
      <c r="H100" s="10" t="str">
        <f t="shared" si="3"/>
        <v>Clasificado</v>
      </c>
    </row>
    <row r="101" spans="1:8" ht="15" hidden="1" customHeight="1" x14ac:dyDescent="0.35">
      <c r="A101" s="7">
        <v>11645</v>
      </c>
      <c r="B101" s="7" t="s">
        <v>219</v>
      </c>
      <c r="C101" s="7" t="s">
        <v>220</v>
      </c>
      <c r="D101" s="8">
        <v>8</v>
      </c>
      <c r="E101" s="9">
        <v>8</v>
      </c>
      <c r="F101" s="9"/>
      <c r="G101" s="8">
        <f t="shared" si="2"/>
        <v>0</v>
      </c>
      <c r="H101" s="10" t="str">
        <f t="shared" si="3"/>
        <v>Clasificado</v>
      </c>
    </row>
    <row r="102" spans="1:8" ht="15" hidden="1" customHeight="1" x14ac:dyDescent="0.35">
      <c r="A102" s="11">
        <v>11646</v>
      </c>
      <c r="B102" s="11" t="s">
        <v>221</v>
      </c>
      <c r="C102" s="11" t="s">
        <v>222</v>
      </c>
      <c r="D102" s="12">
        <v>4</v>
      </c>
      <c r="E102" s="9">
        <v>4</v>
      </c>
      <c r="F102" s="9"/>
      <c r="G102" s="8">
        <f t="shared" si="2"/>
        <v>0</v>
      </c>
      <c r="H102" s="10" t="str">
        <f t="shared" si="3"/>
        <v>Clasificado</v>
      </c>
    </row>
    <row r="103" spans="1:8" ht="15" hidden="1" customHeight="1" x14ac:dyDescent="0.35">
      <c r="A103" s="7">
        <v>11649</v>
      </c>
      <c r="B103" s="7" t="s">
        <v>223</v>
      </c>
      <c r="C103" s="7" t="s">
        <v>224</v>
      </c>
      <c r="D103" s="8">
        <v>25</v>
      </c>
      <c r="E103" s="9">
        <v>25</v>
      </c>
      <c r="F103" s="9"/>
      <c r="G103" s="8">
        <f t="shared" si="2"/>
        <v>0</v>
      </c>
      <c r="H103" s="10" t="str">
        <f t="shared" si="3"/>
        <v>Clasificado</v>
      </c>
    </row>
    <row r="104" spans="1:8" ht="15" hidden="1" customHeight="1" x14ac:dyDescent="0.35">
      <c r="A104" s="11">
        <v>11653</v>
      </c>
      <c r="B104" s="11" t="s">
        <v>225</v>
      </c>
      <c r="C104" s="11" t="s">
        <v>226</v>
      </c>
      <c r="D104" s="12">
        <v>1</v>
      </c>
      <c r="E104" s="9">
        <v>1</v>
      </c>
      <c r="F104" s="9"/>
      <c r="G104" s="8">
        <f t="shared" si="2"/>
        <v>0</v>
      </c>
      <c r="H104" s="10" t="str">
        <f t="shared" si="3"/>
        <v>Clasificado</v>
      </c>
    </row>
    <row r="105" spans="1:8" ht="15" hidden="1" customHeight="1" x14ac:dyDescent="0.35">
      <c r="A105" s="7">
        <v>11654</v>
      </c>
      <c r="B105" s="7" t="s">
        <v>227</v>
      </c>
      <c r="C105" s="7" t="s">
        <v>228</v>
      </c>
      <c r="D105" s="8">
        <v>1</v>
      </c>
      <c r="E105" s="9">
        <v>1</v>
      </c>
      <c r="F105" s="9"/>
      <c r="G105" s="8">
        <f t="shared" si="2"/>
        <v>0</v>
      </c>
      <c r="H105" s="10" t="str">
        <f t="shared" si="3"/>
        <v>Clasificado</v>
      </c>
    </row>
    <row r="106" spans="1:8" ht="15" hidden="1" customHeight="1" x14ac:dyDescent="0.35">
      <c r="A106" s="11">
        <v>11658</v>
      </c>
      <c r="B106" s="11" t="s">
        <v>229</v>
      </c>
      <c r="C106" s="11" t="s">
        <v>230</v>
      </c>
      <c r="D106" s="12">
        <v>10</v>
      </c>
      <c r="E106" s="9">
        <v>10</v>
      </c>
      <c r="F106" s="9"/>
      <c r="G106" s="8">
        <f t="shared" si="2"/>
        <v>0</v>
      </c>
      <c r="H106" s="10" t="str">
        <f t="shared" si="3"/>
        <v>Clasificado</v>
      </c>
    </row>
    <row r="107" spans="1:8" ht="15" hidden="1" customHeight="1" x14ac:dyDescent="0.35">
      <c r="A107" s="11"/>
      <c r="B107" s="7" t="s">
        <v>231</v>
      </c>
      <c r="C107" s="7" t="s">
        <v>204</v>
      </c>
      <c r="D107" s="12">
        <v>0</v>
      </c>
      <c r="E107" s="9"/>
      <c r="F107" s="9">
        <v>1</v>
      </c>
      <c r="G107" s="8">
        <f t="shared" si="2"/>
        <v>-1</v>
      </c>
      <c r="H107" s="10" t="str">
        <f t="shared" si="3"/>
        <v>Revisar</v>
      </c>
    </row>
    <row r="108" spans="1:8" ht="15" hidden="1" customHeight="1" x14ac:dyDescent="0.35">
      <c r="A108" s="7">
        <v>11659</v>
      </c>
      <c r="B108" s="7" t="s">
        <v>232</v>
      </c>
      <c r="C108" s="7" t="s">
        <v>233</v>
      </c>
      <c r="D108" s="8">
        <v>4</v>
      </c>
      <c r="E108" s="9">
        <v>4</v>
      </c>
      <c r="F108" s="9"/>
      <c r="G108" s="8">
        <f t="shared" si="2"/>
        <v>0</v>
      </c>
      <c r="H108" s="10" t="str">
        <f t="shared" si="3"/>
        <v>Clasificado</v>
      </c>
    </row>
    <row r="109" spans="1:8" ht="15" hidden="1" customHeight="1" x14ac:dyDescent="0.35">
      <c r="A109" s="11">
        <v>11663</v>
      </c>
      <c r="B109" s="11" t="s">
        <v>234</v>
      </c>
      <c r="C109" s="11" t="s">
        <v>235</v>
      </c>
      <c r="D109" s="12">
        <v>6</v>
      </c>
      <c r="E109" s="9">
        <v>6</v>
      </c>
      <c r="F109" s="9"/>
      <c r="G109" s="8">
        <f t="shared" si="2"/>
        <v>0</v>
      </c>
      <c r="H109" s="10" t="str">
        <f t="shared" si="3"/>
        <v>Clasificado</v>
      </c>
    </row>
    <row r="110" spans="1:8" ht="15" hidden="1" customHeight="1" x14ac:dyDescent="0.35">
      <c r="A110" s="7">
        <v>11665</v>
      </c>
      <c r="B110" s="7" t="s">
        <v>236</v>
      </c>
      <c r="C110" s="7" t="s">
        <v>237</v>
      </c>
      <c r="D110" s="8">
        <v>1</v>
      </c>
      <c r="E110" s="9">
        <v>1</v>
      </c>
      <c r="F110" s="9"/>
      <c r="G110" s="8">
        <f t="shared" si="2"/>
        <v>0</v>
      </c>
      <c r="H110" s="10" t="str">
        <f t="shared" si="3"/>
        <v>Clasificado</v>
      </c>
    </row>
    <row r="111" spans="1:8" ht="15" hidden="1" customHeight="1" x14ac:dyDescent="0.35">
      <c r="A111" s="11">
        <v>11667</v>
      </c>
      <c r="B111" s="11" t="s">
        <v>238</v>
      </c>
      <c r="C111" s="11" t="s">
        <v>239</v>
      </c>
      <c r="D111" s="12">
        <v>5</v>
      </c>
      <c r="E111" s="9">
        <v>5</v>
      </c>
      <c r="F111" s="9"/>
      <c r="G111" s="8">
        <f t="shared" si="2"/>
        <v>0</v>
      </c>
      <c r="H111" s="10" t="str">
        <f t="shared" si="3"/>
        <v>Clasificado</v>
      </c>
    </row>
    <row r="112" spans="1:8" ht="15" hidden="1" customHeight="1" x14ac:dyDescent="0.35">
      <c r="A112" s="7">
        <v>11676</v>
      </c>
      <c r="B112" s="7" t="s">
        <v>240</v>
      </c>
      <c r="C112" s="7" t="s">
        <v>241</v>
      </c>
      <c r="D112" s="8">
        <v>18</v>
      </c>
      <c r="E112" s="9">
        <v>18</v>
      </c>
      <c r="F112" s="9"/>
      <c r="G112" s="8">
        <f t="shared" si="2"/>
        <v>0</v>
      </c>
      <c r="H112" s="10" t="str">
        <f t="shared" si="3"/>
        <v>Clasificado</v>
      </c>
    </row>
    <row r="113" spans="1:8" ht="15" hidden="1" customHeight="1" x14ac:dyDescent="0.35">
      <c r="A113" s="11">
        <v>11682</v>
      </c>
      <c r="B113" s="11" t="s">
        <v>242</v>
      </c>
      <c r="C113" s="11" t="s">
        <v>243</v>
      </c>
      <c r="D113" s="12">
        <v>1</v>
      </c>
      <c r="E113" s="9">
        <v>1</v>
      </c>
      <c r="F113" s="9"/>
      <c r="G113" s="8">
        <f t="shared" si="2"/>
        <v>0</v>
      </c>
      <c r="H113" s="10" t="str">
        <f t="shared" si="3"/>
        <v>Clasificado</v>
      </c>
    </row>
    <row r="114" spans="1:8" ht="15" hidden="1" customHeight="1" x14ac:dyDescent="0.35">
      <c r="A114" s="7">
        <v>11685</v>
      </c>
      <c r="B114" s="7" t="s">
        <v>244</v>
      </c>
      <c r="C114" s="7" t="s">
        <v>245</v>
      </c>
      <c r="D114" s="8">
        <v>2</v>
      </c>
      <c r="E114" s="9">
        <v>2</v>
      </c>
      <c r="F114" s="9"/>
      <c r="G114" s="8">
        <f t="shared" si="2"/>
        <v>0</v>
      </c>
      <c r="H114" s="10" t="str">
        <f t="shared" si="3"/>
        <v>Clasificado</v>
      </c>
    </row>
    <row r="115" spans="1:8" ht="15" hidden="1" customHeight="1" x14ac:dyDescent="0.35">
      <c r="A115" s="11">
        <v>11689</v>
      </c>
      <c r="B115" s="11" t="s">
        <v>246</v>
      </c>
      <c r="C115" s="11" t="s">
        <v>247</v>
      </c>
      <c r="D115" s="12">
        <v>7</v>
      </c>
      <c r="E115" s="9">
        <v>7</v>
      </c>
      <c r="F115" s="9"/>
      <c r="G115" s="8">
        <f t="shared" si="2"/>
        <v>0</v>
      </c>
      <c r="H115" s="10" t="str">
        <f t="shared" si="3"/>
        <v>Clasificado</v>
      </c>
    </row>
    <row r="116" spans="1:8" ht="15" hidden="1" customHeight="1" x14ac:dyDescent="0.35">
      <c r="A116" s="7">
        <v>11694</v>
      </c>
      <c r="B116" s="7" t="s">
        <v>248</v>
      </c>
      <c r="C116" s="7" t="s">
        <v>249</v>
      </c>
      <c r="D116" s="8">
        <v>0</v>
      </c>
      <c r="E116" s="9">
        <v>0</v>
      </c>
      <c r="F116" s="9"/>
      <c r="G116" s="8">
        <f t="shared" si="2"/>
        <v>0</v>
      </c>
      <c r="H116" s="10" t="str">
        <f t="shared" si="3"/>
        <v>Clasificado</v>
      </c>
    </row>
    <row r="117" spans="1:8" ht="15" hidden="1" customHeight="1" x14ac:dyDescent="0.35">
      <c r="A117" s="11">
        <v>11700</v>
      </c>
      <c r="B117" s="11" t="s">
        <v>250</v>
      </c>
      <c r="C117" s="11" t="s">
        <v>251</v>
      </c>
      <c r="D117" s="12">
        <v>1</v>
      </c>
      <c r="E117" s="9">
        <v>1</v>
      </c>
      <c r="F117" s="9"/>
      <c r="G117" s="8">
        <f t="shared" si="2"/>
        <v>0</v>
      </c>
      <c r="H117" s="10" t="str">
        <f t="shared" si="3"/>
        <v>Clasificado</v>
      </c>
    </row>
    <row r="118" spans="1:8" ht="15" hidden="1" customHeight="1" x14ac:dyDescent="0.35">
      <c r="A118" s="7">
        <v>11701</v>
      </c>
      <c r="B118" s="7" t="s">
        <v>252</v>
      </c>
      <c r="C118" s="7" t="s">
        <v>253</v>
      </c>
      <c r="D118" s="8">
        <v>1</v>
      </c>
      <c r="E118" s="9">
        <v>1</v>
      </c>
      <c r="F118" s="9"/>
      <c r="G118" s="8">
        <f t="shared" si="2"/>
        <v>0</v>
      </c>
      <c r="H118" s="10" t="str">
        <f t="shared" si="3"/>
        <v>Clasificado</v>
      </c>
    </row>
    <row r="119" spans="1:8" ht="15" hidden="1" customHeight="1" x14ac:dyDescent="0.35">
      <c r="A119" s="11">
        <v>11703</v>
      </c>
      <c r="B119" s="11" t="s">
        <v>254</v>
      </c>
      <c r="C119" s="11" t="s">
        <v>255</v>
      </c>
      <c r="D119" s="12">
        <v>1</v>
      </c>
      <c r="E119" s="9">
        <v>1</v>
      </c>
      <c r="F119" s="9"/>
      <c r="G119" s="8">
        <f t="shared" si="2"/>
        <v>0</v>
      </c>
      <c r="H119" s="10" t="str">
        <f t="shared" si="3"/>
        <v>Clasificado</v>
      </c>
    </row>
    <row r="120" spans="1:8" ht="15" hidden="1" customHeight="1" x14ac:dyDescent="0.35">
      <c r="A120" s="7">
        <v>11707</v>
      </c>
      <c r="B120" s="7" t="s">
        <v>256</v>
      </c>
      <c r="C120" s="7" t="s">
        <v>257</v>
      </c>
      <c r="D120" s="8">
        <v>2</v>
      </c>
      <c r="E120" s="9">
        <v>2</v>
      </c>
      <c r="F120" s="9"/>
      <c r="G120" s="8">
        <f t="shared" si="2"/>
        <v>0</v>
      </c>
      <c r="H120" s="10" t="str">
        <f t="shared" si="3"/>
        <v>Clasificado</v>
      </c>
    </row>
    <row r="121" spans="1:8" ht="15" hidden="1" customHeight="1" x14ac:dyDescent="0.35">
      <c r="A121" s="11">
        <v>11708</v>
      </c>
      <c r="B121" s="11" t="s">
        <v>258</v>
      </c>
      <c r="C121" s="11" t="s">
        <v>259</v>
      </c>
      <c r="D121" s="12">
        <v>1</v>
      </c>
      <c r="E121" s="9">
        <v>1</v>
      </c>
      <c r="F121" s="9"/>
      <c r="G121" s="8">
        <f t="shared" si="2"/>
        <v>0</v>
      </c>
      <c r="H121" s="10" t="str">
        <f t="shared" si="3"/>
        <v>Clasificado</v>
      </c>
    </row>
    <row r="122" spans="1:8" ht="15" hidden="1" customHeight="1" x14ac:dyDescent="0.35">
      <c r="A122" s="7">
        <v>11720</v>
      </c>
      <c r="B122" s="7" t="s">
        <v>260</v>
      </c>
      <c r="C122" s="7" t="s">
        <v>261</v>
      </c>
      <c r="D122" s="8">
        <v>1</v>
      </c>
      <c r="E122" s="9">
        <v>1</v>
      </c>
      <c r="F122" s="9"/>
      <c r="G122" s="8">
        <f t="shared" si="2"/>
        <v>0</v>
      </c>
      <c r="H122" s="10" t="str">
        <f t="shared" si="3"/>
        <v>Clasificado</v>
      </c>
    </row>
    <row r="123" spans="1:8" ht="15" hidden="1" customHeight="1" x14ac:dyDescent="0.35">
      <c r="A123" s="11">
        <v>11721</v>
      </c>
      <c r="B123" s="11" t="s">
        <v>262</v>
      </c>
      <c r="C123" s="11" t="s">
        <v>263</v>
      </c>
      <c r="D123" s="12">
        <v>1</v>
      </c>
      <c r="E123" s="9">
        <v>1</v>
      </c>
      <c r="F123" s="9"/>
      <c r="G123" s="8">
        <f t="shared" si="2"/>
        <v>0</v>
      </c>
      <c r="H123" s="10" t="str">
        <f t="shared" si="3"/>
        <v>Clasificado</v>
      </c>
    </row>
    <row r="124" spans="1:8" ht="15" hidden="1" customHeight="1" x14ac:dyDescent="0.35">
      <c r="A124" s="7">
        <v>11724</v>
      </c>
      <c r="B124" s="7" t="s">
        <v>264</v>
      </c>
      <c r="C124" s="7" t="s">
        <v>265</v>
      </c>
      <c r="D124" s="8">
        <v>1</v>
      </c>
      <c r="E124" s="9">
        <v>1</v>
      </c>
      <c r="F124" s="9"/>
      <c r="G124" s="8">
        <f t="shared" si="2"/>
        <v>0</v>
      </c>
      <c r="H124" s="10" t="str">
        <f t="shared" si="3"/>
        <v>Clasificado</v>
      </c>
    </row>
    <row r="125" spans="1:8" ht="15" hidden="1" customHeight="1" x14ac:dyDescent="0.35">
      <c r="A125" s="11">
        <v>11725</v>
      </c>
      <c r="B125" s="11" t="s">
        <v>266</v>
      </c>
      <c r="C125" s="11" t="s">
        <v>267</v>
      </c>
      <c r="D125" s="12">
        <v>3</v>
      </c>
      <c r="E125" s="9">
        <v>3</v>
      </c>
      <c r="F125" s="9"/>
      <c r="G125" s="8">
        <f t="shared" si="2"/>
        <v>0</v>
      </c>
      <c r="H125" s="10" t="str">
        <f t="shared" si="3"/>
        <v>Clasificado</v>
      </c>
    </row>
    <row r="126" spans="1:8" ht="15" hidden="1" customHeight="1" x14ac:dyDescent="0.35">
      <c r="A126" s="7">
        <v>11726</v>
      </c>
      <c r="B126" s="7" t="s">
        <v>268</v>
      </c>
      <c r="C126" s="7" t="s">
        <v>269</v>
      </c>
      <c r="D126" s="8">
        <v>1</v>
      </c>
      <c r="E126" s="9">
        <v>1</v>
      </c>
      <c r="F126" s="9"/>
      <c r="G126" s="8">
        <f t="shared" si="2"/>
        <v>0</v>
      </c>
      <c r="H126" s="10" t="str">
        <f t="shared" si="3"/>
        <v>Clasificado</v>
      </c>
    </row>
    <row r="127" spans="1:8" ht="15" hidden="1" customHeight="1" x14ac:dyDescent="0.35">
      <c r="A127" s="11">
        <v>12890</v>
      </c>
      <c r="B127" s="11" t="s">
        <v>270</v>
      </c>
      <c r="C127" s="11" t="s">
        <v>271</v>
      </c>
      <c r="D127" s="12">
        <v>1</v>
      </c>
      <c r="E127" s="9">
        <v>1</v>
      </c>
      <c r="F127" s="9"/>
      <c r="G127" s="8">
        <f t="shared" si="2"/>
        <v>0</v>
      </c>
      <c r="H127" s="10" t="str">
        <f t="shared" si="3"/>
        <v>Clasificado</v>
      </c>
    </row>
    <row r="128" spans="1:8" ht="15" hidden="1" customHeight="1" x14ac:dyDescent="0.35">
      <c r="A128" s="7">
        <v>12891</v>
      </c>
      <c r="B128" s="7" t="s">
        <v>272</v>
      </c>
      <c r="C128" s="7" t="s">
        <v>273</v>
      </c>
      <c r="D128" s="8">
        <v>1</v>
      </c>
      <c r="E128" s="9">
        <v>1</v>
      </c>
      <c r="F128" s="9"/>
      <c r="G128" s="8">
        <f t="shared" si="2"/>
        <v>0</v>
      </c>
      <c r="H128" s="10" t="str">
        <f t="shared" si="3"/>
        <v>Clasificado</v>
      </c>
    </row>
    <row r="129" spans="1:8" ht="15" hidden="1" customHeight="1" x14ac:dyDescent="0.35">
      <c r="A129" s="11">
        <v>12907</v>
      </c>
      <c r="B129" s="11" t="s">
        <v>274</v>
      </c>
      <c r="C129" s="11" t="s">
        <v>275</v>
      </c>
      <c r="D129" s="12">
        <v>1</v>
      </c>
      <c r="E129" s="9">
        <v>1</v>
      </c>
      <c r="F129" s="9"/>
      <c r="G129" s="8">
        <f t="shared" si="2"/>
        <v>0</v>
      </c>
      <c r="H129" s="10" t="str">
        <f t="shared" si="3"/>
        <v>Clasificado</v>
      </c>
    </row>
    <row r="130" spans="1:8" ht="15" hidden="1" customHeight="1" x14ac:dyDescent="0.35">
      <c r="A130" s="7">
        <v>12948</v>
      </c>
      <c r="B130" s="7" t="s">
        <v>276</v>
      </c>
      <c r="C130" s="7" t="s">
        <v>277</v>
      </c>
      <c r="D130" s="8">
        <v>1</v>
      </c>
      <c r="E130" s="9">
        <v>1</v>
      </c>
      <c r="F130" s="9"/>
      <c r="G130" s="8">
        <f t="shared" si="2"/>
        <v>0</v>
      </c>
      <c r="H130" s="10" t="str">
        <f t="shared" si="3"/>
        <v>Clasificado</v>
      </c>
    </row>
    <row r="131" spans="1:8" ht="15" hidden="1" customHeight="1" x14ac:dyDescent="0.35">
      <c r="A131" s="11">
        <v>12950</v>
      </c>
      <c r="B131" s="11" t="s">
        <v>278</v>
      </c>
      <c r="C131" s="11" t="s">
        <v>279</v>
      </c>
      <c r="D131" s="12">
        <v>3</v>
      </c>
      <c r="E131" s="9">
        <v>3</v>
      </c>
      <c r="F131" s="9"/>
      <c r="G131" s="8">
        <f t="shared" ref="G131:G194" si="4">D131-E131-F131</f>
        <v>0</v>
      </c>
      <c r="H131" s="10" t="str">
        <f t="shared" ref="H131:H194" si="5">IF(AND(E131="",F131=""),"Sin revisar",IF(G131=0,"Clasificado","Revisar"))</f>
        <v>Clasificado</v>
      </c>
    </row>
    <row r="132" spans="1:8" ht="15" hidden="1" customHeight="1" x14ac:dyDescent="0.35">
      <c r="A132" s="7">
        <v>12951</v>
      </c>
      <c r="B132" s="7" t="s">
        <v>280</v>
      </c>
      <c r="C132" s="7" t="s">
        <v>281</v>
      </c>
      <c r="D132" s="8">
        <v>35</v>
      </c>
      <c r="E132" s="9">
        <v>35</v>
      </c>
      <c r="F132" s="9"/>
      <c r="G132" s="8">
        <f t="shared" si="4"/>
        <v>0</v>
      </c>
      <c r="H132" s="10" t="str">
        <f t="shared" si="5"/>
        <v>Clasificado</v>
      </c>
    </row>
    <row r="133" spans="1:8" ht="15" hidden="1" customHeight="1" x14ac:dyDescent="0.35">
      <c r="A133" s="11">
        <v>13144</v>
      </c>
      <c r="B133" s="11" t="s">
        <v>282</v>
      </c>
      <c r="C133" s="11" t="s">
        <v>283</v>
      </c>
      <c r="D133" s="12">
        <v>1</v>
      </c>
      <c r="E133" s="9">
        <v>1</v>
      </c>
      <c r="F133" s="9"/>
      <c r="G133" s="8">
        <f t="shared" si="4"/>
        <v>0</v>
      </c>
      <c r="H133" s="10" t="str">
        <f t="shared" si="5"/>
        <v>Clasificado</v>
      </c>
    </row>
    <row r="134" spans="1:8" ht="15" hidden="1" customHeight="1" x14ac:dyDescent="0.35">
      <c r="A134" s="7">
        <v>13146</v>
      </c>
      <c r="B134" s="7" t="s">
        <v>284</v>
      </c>
      <c r="C134" s="7" t="s">
        <v>285</v>
      </c>
      <c r="D134" s="8">
        <v>1</v>
      </c>
      <c r="E134" s="9">
        <v>1</v>
      </c>
      <c r="F134" s="9"/>
      <c r="G134" s="8">
        <f t="shared" si="4"/>
        <v>0</v>
      </c>
      <c r="H134" s="10" t="str">
        <f t="shared" si="5"/>
        <v>Clasificado</v>
      </c>
    </row>
    <row r="135" spans="1:8" ht="15" hidden="1" customHeight="1" x14ac:dyDescent="0.35">
      <c r="A135" s="11">
        <v>13612</v>
      </c>
      <c r="B135" s="11" t="s">
        <v>286</v>
      </c>
      <c r="C135" s="11" t="s">
        <v>287</v>
      </c>
      <c r="D135" s="12">
        <v>1</v>
      </c>
      <c r="E135" s="9">
        <v>1</v>
      </c>
      <c r="F135" s="9"/>
      <c r="G135" s="8">
        <f t="shared" si="4"/>
        <v>0</v>
      </c>
      <c r="H135" s="10" t="str">
        <f t="shared" si="5"/>
        <v>Clasificado</v>
      </c>
    </row>
    <row r="136" spans="1:8" ht="15" hidden="1" customHeight="1" x14ac:dyDescent="0.35">
      <c r="A136" s="7">
        <v>13615</v>
      </c>
      <c r="B136" s="7" t="s">
        <v>288</v>
      </c>
      <c r="C136" s="7" t="s">
        <v>289</v>
      </c>
      <c r="D136" s="8">
        <v>1</v>
      </c>
      <c r="E136" s="9">
        <v>1</v>
      </c>
      <c r="F136" s="9"/>
      <c r="G136" s="8">
        <f t="shared" si="4"/>
        <v>0</v>
      </c>
      <c r="H136" s="10" t="str">
        <f t="shared" si="5"/>
        <v>Clasificado</v>
      </c>
    </row>
    <row r="137" spans="1:8" ht="15" hidden="1" customHeight="1" x14ac:dyDescent="0.35">
      <c r="A137" s="11">
        <v>13617</v>
      </c>
      <c r="B137" s="11" t="s">
        <v>290</v>
      </c>
      <c r="C137" s="11" t="s">
        <v>291</v>
      </c>
      <c r="D137" s="12">
        <v>5</v>
      </c>
      <c r="E137" s="9">
        <v>5</v>
      </c>
      <c r="F137" s="9"/>
      <c r="G137" s="8">
        <f t="shared" si="4"/>
        <v>0</v>
      </c>
      <c r="H137" s="10" t="str">
        <f t="shared" si="5"/>
        <v>Clasificado</v>
      </c>
    </row>
    <row r="138" spans="1:8" ht="15" hidden="1" customHeight="1" x14ac:dyDescent="0.35">
      <c r="A138" s="7">
        <v>13619</v>
      </c>
      <c r="B138" s="7" t="s">
        <v>292</v>
      </c>
      <c r="C138" s="7" t="s">
        <v>293</v>
      </c>
      <c r="D138" s="8">
        <v>1</v>
      </c>
      <c r="E138" s="9">
        <v>1</v>
      </c>
      <c r="F138" s="9"/>
      <c r="G138" s="8">
        <f t="shared" si="4"/>
        <v>0</v>
      </c>
      <c r="H138" s="10" t="str">
        <f t="shared" si="5"/>
        <v>Clasificado</v>
      </c>
    </row>
    <row r="139" spans="1:8" ht="15" hidden="1" customHeight="1" x14ac:dyDescent="0.35">
      <c r="A139" s="11">
        <v>15145</v>
      </c>
      <c r="B139" s="11" t="s">
        <v>294</v>
      </c>
      <c r="C139" s="11" t="s">
        <v>295</v>
      </c>
      <c r="D139" s="12">
        <v>1</v>
      </c>
      <c r="E139" s="9">
        <v>1</v>
      </c>
      <c r="F139" s="9"/>
      <c r="G139" s="8">
        <f t="shared" si="4"/>
        <v>0</v>
      </c>
      <c r="H139" s="10" t="str">
        <f t="shared" si="5"/>
        <v>Clasificado</v>
      </c>
    </row>
    <row r="140" spans="1:8" ht="15" hidden="1" customHeight="1" x14ac:dyDescent="0.35">
      <c r="A140" s="7">
        <v>15147</v>
      </c>
      <c r="B140" s="7" t="s">
        <v>296</v>
      </c>
      <c r="C140" s="7" t="s">
        <v>297</v>
      </c>
      <c r="D140" s="8">
        <v>2</v>
      </c>
      <c r="E140" s="9">
        <v>2</v>
      </c>
      <c r="F140" s="9"/>
      <c r="G140" s="8">
        <f t="shared" si="4"/>
        <v>0</v>
      </c>
      <c r="H140" s="10" t="str">
        <f t="shared" si="5"/>
        <v>Clasificado</v>
      </c>
    </row>
    <row r="141" spans="1:8" ht="15" hidden="1" customHeight="1" x14ac:dyDescent="0.35">
      <c r="A141" s="11">
        <v>15575</v>
      </c>
      <c r="B141" s="11" t="s">
        <v>298</v>
      </c>
      <c r="C141" s="11" t="s">
        <v>299</v>
      </c>
      <c r="D141" s="12">
        <v>1</v>
      </c>
      <c r="E141" s="9">
        <v>1</v>
      </c>
      <c r="F141" s="9"/>
      <c r="G141" s="8">
        <f t="shared" si="4"/>
        <v>0</v>
      </c>
      <c r="H141" s="10" t="str">
        <f t="shared" si="5"/>
        <v>Clasificado</v>
      </c>
    </row>
    <row r="142" spans="1:8" ht="15" hidden="1" customHeight="1" x14ac:dyDescent="0.35">
      <c r="A142" s="7">
        <v>15589</v>
      </c>
      <c r="B142" s="7" t="s">
        <v>300</v>
      </c>
      <c r="C142" s="7" t="s">
        <v>301</v>
      </c>
      <c r="D142" s="8">
        <v>9</v>
      </c>
      <c r="E142" s="9"/>
      <c r="F142" s="9">
        <v>12</v>
      </c>
      <c r="G142" s="8">
        <f t="shared" si="4"/>
        <v>-3</v>
      </c>
      <c r="H142" s="10" t="str">
        <f t="shared" si="5"/>
        <v>Revisar</v>
      </c>
    </row>
    <row r="143" spans="1:8" ht="15" hidden="1" customHeight="1" x14ac:dyDescent="0.35">
      <c r="A143" s="11">
        <v>15590</v>
      </c>
      <c r="B143" s="11" t="s">
        <v>302</v>
      </c>
      <c r="C143" s="11" t="s">
        <v>303</v>
      </c>
      <c r="D143" s="12">
        <v>0</v>
      </c>
      <c r="E143" s="9">
        <v>0</v>
      </c>
      <c r="F143" s="9"/>
      <c r="G143" s="8">
        <f t="shared" si="4"/>
        <v>0</v>
      </c>
      <c r="H143" s="10" t="str">
        <f t="shared" si="5"/>
        <v>Clasificado</v>
      </c>
    </row>
    <row r="144" spans="1:8" ht="15" hidden="1" customHeight="1" x14ac:dyDescent="0.35">
      <c r="A144" s="7">
        <v>15591</v>
      </c>
      <c r="B144" s="7" t="s">
        <v>304</v>
      </c>
      <c r="C144" s="7" t="s">
        <v>305</v>
      </c>
      <c r="D144" s="8">
        <v>0</v>
      </c>
      <c r="E144" s="9">
        <v>0</v>
      </c>
      <c r="F144" s="9"/>
      <c r="G144" s="8">
        <f t="shared" si="4"/>
        <v>0</v>
      </c>
      <c r="H144" s="10" t="str">
        <f t="shared" si="5"/>
        <v>Clasificado</v>
      </c>
    </row>
    <row r="145" spans="1:8" ht="15" hidden="1" customHeight="1" x14ac:dyDescent="0.35">
      <c r="A145" s="11">
        <v>15592</v>
      </c>
      <c r="B145" s="11" t="s">
        <v>306</v>
      </c>
      <c r="C145" s="11" t="s">
        <v>307</v>
      </c>
      <c r="D145" s="12">
        <v>0</v>
      </c>
      <c r="E145" s="9">
        <v>0</v>
      </c>
      <c r="F145" s="9"/>
      <c r="G145" s="8">
        <f t="shared" si="4"/>
        <v>0</v>
      </c>
      <c r="H145" s="10" t="str">
        <f t="shared" si="5"/>
        <v>Clasificado</v>
      </c>
    </row>
    <row r="146" spans="1:8" ht="15" hidden="1" customHeight="1" x14ac:dyDescent="0.35">
      <c r="A146" s="7">
        <v>15784</v>
      </c>
      <c r="B146" s="7" t="s">
        <v>308</v>
      </c>
      <c r="C146" s="7" t="s">
        <v>309</v>
      </c>
      <c r="D146" s="8">
        <v>15</v>
      </c>
      <c r="E146" s="9">
        <v>15</v>
      </c>
      <c r="F146" s="9"/>
      <c r="G146" s="8">
        <f t="shared" si="4"/>
        <v>0</v>
      </c>
      <c r="H146" s="10" t="str">
        <f t="shared" si="5"/>
        <v>Clasificado</v>
      </c>
    </row>
    <row r="147" spans="1:8" ht="15" hidden="1" customHeight="1" x14ac:dyDescent="0.35">
      <c r="A147" s="11">
        <v>15786</v>
      </c>
      <c r="B147" s="11" t="s">
        <v>310</v>
      </c>
      <c r="C147" s="11" t="s">
        <v>311</v>
      </c>
      <c r="D147" s="12">
        <v>5</v>
      </c>
      <c r="E147" s="9">
        <v>5</v>
      </c>
      <c r="F147" s="9"/>
      <c r="G147" s="8">
        <f t="shared" si="4"/>
        <v>0</v>
      </c>
      <c r="H147" s="10" t="str">
        <f t="shared" si="5"/>
        <v>Clasificado</v>
      </c>
    </row>
    <row r="148" spans="1:8" ht="15" hidden="1" customHeight="1" x14ac:dyDescent="0.35">
      <c r="A148" s="7">
        <v>15918</v>
      </c>
      <c r="B148" s="7" t="s">
        <v>312</v>
      </c>
      <c r="C148" s="7" t="s">
        <v>313</v>
      </c>
      <c r="D148" s="8">
        <v>11</v>
      </c>
      <c r="E148" s="9">
        <v>11</v>
      </c>
      <c r="F148" s="9"/>
      <c r="G148" s="8">
        <f t="shared" si="4"/>
        <v>0</v>
      </c>
      <c r="H148" s="10" t="str">
        <f t="shared" si="5"/>
        <v>Clasificado</v>
      </c>
    </row>
    <row r="149" spans="1:8" ht="15" hidden="1" customHeight="1" x14ac:dyDescent="0.35">
      <c r="A149" s="11">
        <v>15919</v>
      </c>
      <c r="B149" s="11" t="s">
        <v>314</v>
      </c>
      <c r="C149" s="11" t="s">
        <v>315</v>
      </c>
      <c r="D149" s="12">
        <v>1</v>
      </c>
      <c r="E149" s="9">
        <v>1</v>
      </c>
      <c r="F149" s="9"/>
      <c r="G149" s="8">
        <f t="shared" si="4"/>
        <v>0</v>
      </c>
      <c r="H149" s="10" t="str">
        <f t="shared" si="5"/>
        <v>Clasificado</v>
      </c>
    </row>
    <row r="150" spans="1:8" ht="15" hidden="1" customHeight="1" x14ac:dyDescent="0.35">
      <c r="A150" s="7">
        <v>15920</v>
      </c>
      <c r="B150" s="7" t="s">
        <v>316</v>
      </c>
      <c r="C150" s="7" t="s">
        <v>317</v>
      </c>
      <c r="D150" s="8">
        <v>2</v>
      </c>
      <c r="E150" s="9">
        <v>2</v>
      </c>
      <c r="F150" s="9"/>
      <c r="G150" s="8">
        <f t="shared" si="4"/>
        <v>0</v>
      </c>
      <c r="H150" s="10" t="str">
        <f t="shared" si="5"/>
        <v>Clasificado</v>
      </c>
    </row>
    <row r="151" spans="1:8" ht="15" hidden="1" customHeight="1" x14ac:dyDescent="0.35">
      <c r="A151" s="11">
        <v>15922</v>
      </c>
      <c r="B151" s="11" t="s">
        <v>318</v>
      </c>
      <c r="C151" s="11" t="s">
        <v>319</v>
      </c>
      <c r="D151" s="12">
        <v>1</v>
      </c>
      <c r="E151" s="9">
        <v>1</v>
      </c>
      <c r="F151" s="9"/>
      <c r="G151" s="8">
        <f t="shared" si="4"/>
        <v>0</v>
      </c>
      <c r="H151" s="10" t="str">
        <f t="shared" si="5"/>
        <v>Clasificado</v>
      </c>
    </row>
    <row r="152" spans="1:8" ht="15" hidden="1" customHeight="1" x14ac:dyDescent="0.35">
      <c r="A152" s="7">
        <v>15923</v>
      </c>
      <c r="B152" s="7" t="s">
        <v>320</v>
      </c>
      <c r="C152" s="7" t="s">
        <v>321</v>
      </c>
      <c r="D152" s="8">
        <v>1</v>
      </c>
      <c r="E152" s="9">
        <v>1</v>
      </c>
      <c r="F152" s="9"/>
      <c r="G152" s="8">
        <f t="shared" si="4"/>
        <v>0</v>
      </c>
      <c r="H152" s="10" t="str">
        <f t="shared" si="5"/>
        <v>Clasificado</v>
      </c>
    </row>
    <row r="153" spans="1:8" ht="15" hidden="1" customHeight="1" x14ac:dyDescent="0.35">
      <c r="A153" s="11">
        <v>16113</v>
      </c>
      <c r="B153" s="11" t="s">
        <v>322</v>
      </c>
      <c r="C153" s="11" t="s">
        <v>323</v>
      </c>
      <c r="D153" s="12">
        <v>4</v>
      </c>
      <c r="E153" s="9">
        <v>4</v>
      </c>
      <c r="F153" s="9"/>
      <c r="G153" s="8">
        <f t="shared" si="4"/>
        <v>0</v>
      </c>
      <c r="H153" s="10" t="str">
        <f t="shared" si="5"/>
        <v>Clasificado</v>
      </c>
    </row>
    <row r="154" spans="1:8" ht="15" hidden="1" customHeight="1" x14ac:dyDescent="0.35">
      <c r="A154" s="7">
        <v>16118</v>
      </c>
      <c r="B154" s="7" t="s">
        <v>324</v>
      </c>
      <c r="C154" s="7" t="s">
        <v>325</v>
      </c>
      <c r="D154" s="8">
        <v>1</v>
      </c>
      <c r="E154" s="9">
        <v>1</v>
      </c>
      <c r="F154" s="9"/>
      <c r="G154" s="8">
        <f t="shared" si="4"/>
        <v>0</v>
      </c>
      <c r="H154" s="10" t="str">
        <f t="shared" si="5"/>
        <v>Clasificado</v>
      </c>
    </row>
    <row r="155" spans="1:8" ht="15" hidden="1" customHeight="1" x14ac:dyDescent="0.35">
      <c r="A155" s="11">
        <v>17045</v>
      </c>
      <c r="B155" s="11" t="s">
        <v>326</v>
      </c>
      <c r="C155" s="11" t="s">
        <v>327</v>
      </c>
      <c r="D155" s="12">
        <v>2</v>
      </c>
      <c r="E155" s="9">
        <v>2</v>
      </c>
      <c r="F155" s="9"/>
      <c r="G155" s="8">
        <f t="shared" si="4"/>
        <v>0</v>
      </c>
      <c r="H155" s="10" t="str">
        <f t="shared" si="5"/>
        <v>Clasificado</v>
      </c>
    </row>
    <row r="156" spans="1:8" ht="15" hidden="1" customHeight="1" x14ac:dyDescent="0.35">
      <c r="A156" s="7">
        <v>17060</v>
      </c>
      <c r="B156" s="7" t="s">
        <v>328</v>
      </c>
      <c r="C156" s="7" t="s">
        <v>329</v>
      </c>
      <c r="D156" s="8">
        <v>1</v>
      </c>
      <c r="E156" s="9">
        <v>1</v>
      </c>
      <c r="F156" s="9"/>
      <c r="G156" s="8">
        <f t="shared" si="4"/>
        <v>0</v>
      </c>
      <c r="H156" s="10" t="str">
        <f t="shared" si="5"/>
        <v>Clasificado</v>
      </c>
    </row>
    <row r="157" spans="1:8" ht="15" hidden="1" customHeight="1" x14ac:dyDescent="0.35">
      <c r="A157" s="11">
        <v>17061</v>
      </c>
      <c r="B157" s="11" t="s">
        <v>330</v>
      </c>
      <c r="C157" s="11" t="s">
        <v>331</v>
      </c>
      <c r="D157" s="12">
        <v>2</v>
      </c>
      <c r="E157" s="9">
        <v>2</v>
      </c>
      <c r="F157" s="9"/>
      <c r="G157" s="8">
        <f t="shared" si="4"/>
        <v>0</v>
      </c>
      <c r="H157" s="10" t="str">
        <f t="shared" si="5"/>
        <v>Clasificado</v>
      </c>
    </row>
    <row r="158" spans="1:8" ht="15" hidden="1" customHeight="1" x14ac:dyDescent="0.35">
      <c r="A158" s="7">
        <v>17063</v>
      </c>
      <c r="B158" s="7" t="s">
        <v>332</v>
      </c>
      <c r="C158" s="7" t="s">
        <v>333</v>
      </c>
      <c r="D158" s="8">
        <v>1</v>
      </c>
      <c r="E158" s="9">
        <v>1</v>
      </c>
      <c r="F158" s="9"/>
      <c r="G158" s="8">
        <f t="shared" si="4"/>
        <v>0</v>
      </c>
      <c r="H158" s="10" t="str">
        <f t="shared" si="5"/>
        <v>Clasificado</v>
      </c>
    </row>
    <row r="159" spans="1:8" ht="15" hidden="1" customHeight="1" x14ac:dyDescent="0.35">
      <c r="A159" s="11">
        <v>17077</v>
      </c>
      <c r="B159" s="11" t="s">
        <v>334</v>
      </c>
      <c r="C159" s="11" t="s">
        <v>335</v>
      </c>
      <c r="D159" s="12">
        <v>2</v>
      </c>
      <c r="E159" s="9">
        <v>2</v>
      </c>
      <c r="F159" s="9"/>
      <c r="G159" s="8">
        <f t="shared" si="4"/>
        <v>0</v>
      </c>
      <c r="H159" s="10" t="str">
        <f t="shared" si="5"/>
        <v>Clasificado</v>
      </c>
    </row>
    <row r="160" spans="1:8" ht="15" hidden="1" customHeight="1" x14ac:dyDescent="0.35">
      <c r="A160" s="7">
        <v>17088</v>
      </c>
      <c r="B160" s="7" t="s">
        <v>336</v>
      </c>
      <c r="C160" s="7" t="s">
        <v>337</v>
      </c>
      <c r="D160" s="8">
        <v>1</v>
      </c>
      <c r="E160" s="9">
        <v>1</v>
      </c>
      <c r="F160" s="9"/>
      <c r="G160" s="8">
        <f t="shared" si="4"/>
        <v>0</v>
      </c>
      <c r="H160" s="10" t="str">
        <f t="shared" si="5"/>
        <v>Clasificado</v>
      </c>
    </row>
    <row r="161" spans="1:8" ht="15" hidden="1" customHeight="1" x14ac:dyDescent="0.35">
      <c r="A161" s="11">
        <v>17104</v>
      </c>
      <c r="B161" s="11" t="s">
        <v>338</v>
      </c>
      <c r="C161" s="11" t="s">
        <v>339</v>
      </c>
      <c r="D161" s="12">
        <v>14</v>
      </c>
      <c r="E161" s="9">
        <v>14</v>
      </c>
      <c r="F161" s="9"/>
      <c r="G161" s="8">
        <f t="shared" si="4"/>
        <v>0</v>
      </c>
      <c r="H161" s="10" t="str">
        <f t="shared" si="5"/>
        <v>Clasificado</v>
      </c>
    </row>
    <row r="162" spans="1:8" ht="15" hidden="1" customHeight="1" x14ac:dyDescent="0.35">
      <c r="A162" s="7">
        <v>17105</v>
      </c>
      <c r="B162" s="7" t="s">
        <v>340</v>
      </c>
      <c r="C162" s="7" t="s">
        <v>341</v>
      </c>
      <c r="D162" s="8">
        <v>12</v>
      </c>
      <c r="E162" s="9">
        <v>12</v>
      </c>
      <c r="F162" s="9"/>
      <c r="G162" s="8">
        <f t="shared" si="4"/>
        <v>0</v>
      </c>
      <c r="H162" s="10" t="str">
        <f t="shared" si="5"/>
        <v>Clasificado</v>
      </c>
    </row>
    <row r="163" spans="1:8" ht="15" hidden="1" customHeight="1" x14ac:dyDescent="0.35">
      <c r="A163" s="11">
        <v>17106</v>
      </c>
      <c r="B163" s="11" t="s">
        <v>342</v>
      </c>
      <c r="C163" s="11" t="s">
        <v>343</v>
      </c>
      <c r="D163" s="12">
        <v>1</v>
      </c>
      <c r="E163" s="9">
        <v>1</v>
      </c>
      <c r="F163" s="9"/>
      <c r="G163" s="8">
        <f t="shared" si="4"/>
        <v>0</v>
      </c>
      <c r="H163" s="10" t="str">
        <f t="shared" si="5"/>
        <v>Clasificado</v>
      </c>
    </row>
    <row r="164" spans="1:8" ht="15" hidden="1" customHeight="1" x14ac:dyDescent="0.35">
      <c r="A164" s="7">
        <v>17107</v>
      </c>
      <c r="B164" s="7" t="s">
        <v>344</v>
      </c>
      <c r="C164" s="7" t="s">
        <v>345</v>
      </c>
      <c r="D164" s="8">
        <v>6</v>
      </c>
      <c r="E164" s="9">
        <v>6</v>
      </c>
      <c r="F164" s="9"/>
      <c r="G164" s="8">
        <f t="shared" si="4"/>
        <v>0</v>
      </c>
      <c r="H164" s="10" t="str">
        <f t="shared" si="5"/>
        <v>Clasificado</v>
      </c>
    </row>
    <row r="165" spans="1:8" ht="15" hidden="1" customHeight="1" x14ac:dyDescent="0.35">
      <c r="A165" s="11">
        <v>17299</v>
      </c>
      <c r="B165" s="11" t="s">
        <v>346</v>
      </c>
      <c r="C165" s="11" t="s">
        <v>347</v>
      </c>
      <c r="D165" s="12">
        <v>1</v>
      </c>
      <c r="E165" s="9">
        <v>1</v>
      </c>
      <c r="F165" s="9"/>
      <c r="G165" s="8">
        <f t="shared" si="4"/>
        <v>0</v>
      </c>
      <c r="H165" s="10" t="str">
        <f t="shared" si="5"/>
        <v>Clasificado</v>
      </c>
    </row>
    <row r="166" spans="1:8" ht="15" hidden="1" customHeight="1" x14ac:dyDescent="0.35">
      <c r="A166" s="7">
        <v>17300</v>
      </c>
      <c r="B166" s="7" t="s">
        <v>348</v>
      </c>
      <c r="C166" s="7" t="s">
        <v>349</v>
      </c>
      <c r="D166" s="8">
        <v>2</v>
      </c>
      <c r="E166" s="9">
        <v>2</v>
      </c>
      <c r="F166" s="9"/>
      <c r="G166" s="8">
        <f t="shared" si="4"/>
        <v>0</v>
      </c>
      <c r="H166" s="10" t="str">
        <f t="shared" si="5"/>
        <v>Clasificado</v>
      </c>
    </row>
    <row r="167" spans="1:8" ht="15" hidden="1" customHeight="1" x14ac:dyDescent="0.35">
      <c r="A167" s="11">
        <v>18515</v>
      </c>
      <c r="B167" s="11" t="s">
        <v>350</v>
      </c>
      <c r="C167" s="11" t="s">
        <v>351</v>
      </c>
      <c r="D167" s="12">
        <v>10</v>
      </c>
      <c r="E167" s="9">
        <v>10</v>
      </c>
      <c r="F167" s="9"/>
      <c r="G167" s="8">
        <f t="shared" si="4"/>
        <v>0</v>
      </c>
      <c r="H167" s="10" t="str">
        <f t="shared" si="5"/>
        <v>Clasificado</v>
      </c>
    </row>
    <row r="168" spans="1:8" ht="15" hidden="1" customHeight="1" x14ac:dyDescent="0.35">
      <c r="A168" s="7">
        <v>18516</v>
      </c>
      <c r="B168" s="7" t="s">
        <v>352</v>
      </c>
      <c r="C168" s="7" t="s">
        <v>353</v>
      </c>
      <c r="D168" s="8">
        <v>5</v>
      </c>
      <c r="E168" s="9">
        <v>5</v>
      </c>
      <c r="F168" s="9"/>
      <c r="G168" s="8">
        <f t="shared" si="4"/>
        <v>0</v>
      </c>
      <c r="H168" s="10" t="str">
        <f t="shared" si="5"/>
        <v>Clasificado</v>
      </c>
    </row>
    <row r="169" spans="1:8" ht="15" hidden="1" customHeight="1" x14ac:dyDescent="0.35">
      <c r="A169" s="11">
        <v>18517</v>
      </c>
      <c r="B169" s="11" t="s">
        <v>354</v>
      </c>
      <c r="C169" s="11" t="s">
        <v>355</v>
      </c>
      <c r="D169" s="12">
        <v>2</v>
      </c>
      <c r="E169" s="9">
        <v>2</v>
      </c>
      <c r="F169" s="9"/>
      <c r="G169" s="8">
        <f t="shared" si="4"/>
        <v>0</v>
      </c>
      <c r="H169" s="10" t="str">
        <f t="shared" si="5"/>
        <v>Clasificado</v>
      </c>
    </row>
    <row r="170" spans="1:8" ht="15" hidden="1" customHeight="1" x14ac:dyDescent="0.35">
      <c r="A170" s="7">
        <v>18518</v>
      </c>
      <c r="B170" s="7" t="s">
        <v>356</v>
      </c>
      <c r="C170" s="7" t="s">
        <v>357</v>
      </c>
      <c r="D170" s="8">
        <v>7</v>
      </c>
      <c r="E170" s="9">
        <v>7</v>
      </c>
      <c r="F170" s="9"/>
      <c r="G170" s="8">
        <f t="shared" si="4"/>
        <v>0</v>
      </c>
      <c r="H170" s="10" t="str">
        <f t="shared" si="5"/>
        <v>Clasificado</v>
      </c>
    </row>
    <row r="171" spans="1:8" ht="15" hidden="1" customHeight="1" x14ac:dyDescent="0.35">
      <c r="A171" s="11">
        <v>18714</v>
      </c>
      <c r="B171" s="11" t="s">
        <v>358</v>
      </c>
      <c r="C171" s="11" t="s">
        <v>359</v>
      </c>
      <c r="D171" s="12">
        <v>1</v>
      </c>
      <c r="E171" s="9">
        <v>1</v>
      </c>
      <c r="F171" s="9"/>
      <c r="G171" s="8">
        <f t="shared" si="4"/>
        <v>0</v>
      </c>
      <c r="H171" s="10" t="str">
        <f t="shared" si="5"/>
        <v>Clasificado</v>
      </c>
    </row>
    <row r="172" spans="1:8" ht="15" hidden="1" customHeight="1" x14ac:dyDescent="0.35">
      <c r="A172" s="7">
        <v>18844</v>
      </c>
      <c r="B172" s="7" t="s">
        <v>360</v>
      </c>
      <c r="C172" s="7" t="s">
        <v>361</v>
      </c>
      <c r="D172" s="8">
        <v>1</v>
      </c>
      <c r="E172" s="9">
        <v>1</v>
      </c>
      <c r="F172" s="9"/>
      <c r="G172" s="8">
        <f t="shared" si="4"/>
        <v>0</v>
      </c>
      <c r="H172" s="10" t="str">
        <f t="shared" si="5"/>
        <v>Clasificado</v>
      </c>
    </row>
    <row r="173" spans="1:8" ht="15" hidden="1" customHeight="1" x14ac:dyDescent="0.35">
      <c r="A173" s="11">
        <v>18845</v>
      </c>
      <c r="B173" s="11" t="s">
        <v>362</v>
      </c>
      <c r="C173" s="11" t="s">
        <v>363</v>
      </c>
      <c r="D173" s="12">
        <v>17</v>
      </c>
      <c r="E173" s="9">
        <v>17</v>
      </c>
      <c r="F173" s="9"/>
      <c r="G173" s="8">
        <f t="shared" si="4"/>
        <v>0</v>
      </c>
      <c r="H173" s="10" t="str">
        <f t="shared" si="5"/>
        <v>Clasificado</v>
      </c>
    </row>
    <row r="174" spans="1:8" ht="15" hidden="1" customHeight="1" x14ac:dyDescent="0.35">
      <c r="A174" s="7">
        <v>18846</v>
      </c>
      <c r="B174" s="7" t="s">
        <v>364</v>
      </c>
      <c r="C174" s="7" t="s">
        <v>365</v>
      </c>
      <c r="D174" s="8">
        <v>84</v>
      </c>
      <c r="E174" s="9">
        <v>84</v>
      </c>
      <c r="F174" s="9"/>
      <c r="G174" s="8">
        <f t="shared" si="4"/>
        <v>0</v>
      </c>
      <c r="H174" s="10" t="str">
        <f t="shared" si="5"/>
        <v>Clasificado</v>
      </c>
    </row>
    <row r="175" spans="1:8" ht="15" hidden="1" customHeight="1" x14ac:dyDescent="0.35">
      <c r="A175" s="11">
        <v>18847</v>
      </c>
      <c r="B175" s="11" t="s">
        <v>366</v>
      </c>
      <c r="C175" s="11" t="s">
        <v>367</v>
      </c>
      <c r="D175" s="12">
        <v>0</v>
      </c>
      <c r="E175" s="9">
        <v>0</v>
      </c>
      <c r="F175" s="9"/>
      <c r="G175" s="8">
        <f t="shared" si="4"/>
        <v>0</v>
      </c>
      <c r="H175" s="10" t="str">
        <f t="shared" si="5"/>
        <v>Clasificado</v>
      </c>
    </row>
    <row r="176" spans="1:8" ht="15" hidden="1" customHeight="1" x14ac:dyDescent="0.35">
      <c r="A176" s="7">
        <v>19039</v>
      </c>
      <c r="B176" s="7" t="s">
        <v>368</v>
      </c>
      <c r="C176" s="7" t="s">
        <v>369</v>
      </c>
      <c r="D176" s="8">
        <v>1</v>
      </c>
      <c r="E176" s="9">
        <v>1</v>
      </c>
      <c r="F176" s="9"/>
      <c r="G176" s="8">
        <f t="shared" si="4"/>
        <v>0</v>
      </c>
      <c r="H176" s="10" t="str">
        <f t="shared" si="5"/>
        <v>Clasificado</v>
      </c>
    </row>
    <row r="177" spans="1:8" ht="15" hidden="1" customHeight="1" x14ac:dyDescent="0.35">
      <c r="A177" s="11">
        <v>19040</v>
      </c>
      <c r="B177" s="11" t="s">
        <v>370</v>
      </c>
      <c r="C177" s="11" t="s">
        <v>371</v>
      </c>
      <c r="D177" s="12">
        <v>3</v>
      </c>
      <c r="E177" s="9">
        <v>3</v>
      </c>
      <c r="F177" s="9"/>
      <c r="G177" s="8">
        <f t="shared" si="4"/>
        <v>0</v>
      </c>
      <c r="H177" s="10" t="str">
        <f t="shared" si="5"/>
        <v>Clasificado</v>
      </c>
    </row>
    <row r="178" spans="1:8" ht="15" hidden="1" customHeight="1" x14ac:dyDescent="0.35">
      <c r="A178" s="7">
        <v>19041</v>
      </c>
      <c r="B178" s="7" t="s">
        <v>372</v>
      </c>
      <c r="C178" s="7" t="s">
        <v>373</v>
      </c>
      <c r="D178" s="8">
        <v>5</v>
      </c>
      <c r="E178" s="9">
        <v>5</v>
      </c>
      <c r="F178" s="9"/>
      <c r="G178" s="8">
        <f t="shared" si="4"/>
        <v>0</v>
      </c>
      <c r="H178" s="10" t="str">
        <f t="shared" si="5"/>
        <v>Clasificado</v>
      </c>
    </row>
    <row r="179" spans="1:8" ht="15" hidden="1" customHeight="1" x14ac:dyDescent="0.35">
      <c r="A179" s="11">
        <v>19042</v>
      </c>
      <c r="B179" s="11" t="s">
        <v>374</v>
      </c>
      <c r="C179" s="11" t="s">
        <v>375</v>
      </c>
      <c r="D179" s="12">
        <v>3</v>
      </c>
      <c r="E179" s="9">
        <v>3</v>
      </c>
      <c r="F179" s="9"/>
      <c r="G179" s="8">
        <f t="shared" si="4"/>
        <v>0</v>
      </c>
      <c r="H179" s="10" t="str">
        <f t="shared" si="5"/>
        <v>Clasificado</v>
      </c>
    </row>
    <row r="180" spans="1:8" ht="15" hidden="1" customHeight="1" x14ac:dyDescent="0.35">
      <c r="A180" s="7">
        <v>19043</v>
      </c>
      <c r="B180" s="7" t="s">
        <v>376</v>
      </c>
      <c r="C180" s="7" t="s">
        <v>377</v>
      </c>
      <c r="D180" s="8">
        <v>2</v>
      </c>
      <c r="E180" s="9">
        <v>2</v>
      </c>
      <c r="F180" s="9"/>
      <c r="G180" s="8">
        <f t="shared" si="4"/>
        <v>0</v>
      </c>
      <c r="H180" s="10" t="str">
        <f t="shared" si="5"/>
        <v>Clasificado</v>
      </c>
    </row>
    <row r="181" spans="1:8" ht="15" hidden="1" customHeight="1" x14ac:dyDescent="0.35">
      <c r="A181" s="11">
        <v>19175</v>
      </c>
      <c r="B181" s="11" t="s">
        <v>378</v>
      </c>
      <c r="C181" s="11" t="s">
        <v>379</v>
      </c>
      <c r="D181" s="12">
        <v>6</v>
      </c>
      <c r="E181" s="9">
        <v>6</v>
      </c>
      <c r="F181" s="9"/>
      <c r="G181" s="8">
        <f t="shared" si="4"/>
        <v>0</v>
      </c>
      <c r="H181" s="10" t="str">
        <f t="shared" si="5"/>
        <v>Clasificado</v>
      </c>
    </row>
    <row r="182" spans="1:8" ht="15" hidden="1" customHeight="1" x14ac:dyDescent="0.35">
      <c r="A182" s="7">
        <v>19178</v>
      </c>
      <c r="B182" s="7" t="s">
        <v>380</v>
      </c>
      <c r="C182" s="7" t="s">
        <v>381</v>
      </c>
      <c r="D182" s="8">
        <v>1</v>
      </c>
      <c r="E182" s="9">
        <v>1</v>
      </c>
      <c r="F182" s="9"/>
      <c r="G182" s="8">
        <f t="shared" si="4"/>
        <v>0</v>
      </c>
      <c r="H182" s="10" t="str">
        <f t="shared" si="5"/>
        <v>Clasificado</v>
      </c>
    </row>
    <row r="183" spans="1:8" ht="15" hidden="1" customHeight="1" x14ac:dyDescent="0.35">
      <c r="A183" s="11">
        <v>19490</v>
      </c>
      <c r="B183" s="11" t="s">
        <v>382</v>
      </c>
      <c r="C183" s="11" t="s">
        <v>383</v>
      </c>
      <c r="D183" s="12">
        <v>9</v>
      </c>
      <c r="E183" s="9">
        <v>9</v>
      </c>
      <c r="F183" s="9"/>
      <c r="G183" s="8">
        <f t="shared" si="4"/>
        <v>0</v>
      </c>
      <c r="H183" s="10" t="str">
        <f t="shared" si="5"/>
        <v>Clasificado</v>
      </c>
    </row>
    <row r="184" spans="1:8" ht="15" hidden="1" customHeight="1" x14ac:dyDescent="0.35">
      <c r="A184" s="7">
        <v>19491</v>
      </c>
      <c r="B184" s="7" t="s">
        <v>384</v>
      </c>
      <c r="C184" s="7" t="s">
        <v>385</v>
      </c>
      <c r="D184" s="8">
        <v>19</v>
      </c>
      <c r="E184" s="9">
        <v>19</v>
      </c>
      <c r="F184" s="9"/>
      <c r="G184" s="8">
        <f t="shared" si="4"/>
        <v>0</v>
      </c>
      <c r="H184" s="10" t="str">
        <f t="shared" si="5"/>
        <v>Clasificado</v>
      </c>
    </row>
    <row r="185" spans="1:8" ht="15" hidden="1" customHeight="1" x14ac:dyDescent="0.35">
      <c r="A185" s="11">
        <v>19492</v>
      </c>
      <c r="B185" s="11" t="s">
        <v>386</v>
      </c>
      <c r="C185" s="11" t="s">
        <v>387</v>
      </c>
      <c r="D185" s="12">
        <v>37</v>
      </c>
      <c r="E185" s="9">
        <v>37</v>
      </c>
      <c r="F185" s="9"/>
      <c r="G185" s="8">
        <f t="shared" si="4"/>
        <v>0</v>
      </c>
      <c r="H185" s="10" t="str">
        <f t="shared" si="5"/>
        <v>Clasificado</v>
      </c>
    </row>
    <row r="186" spans="1:8" ht="15" hidden="1" customHeight="1" x14ac:dyDescent="0.35">
      <c r="A186" s="7">
        <v>19493</v>
      </c>
      <c r="B186" s="7" t="s">
        <v>388</v>
      </c>
      <c r="C186" s="7" t="s">
        <v>389</v>
      </c>
      <c r="D186" s="8">
        <v>15</v>
      </c>
      <c r="E186" s="9">
        <v>15</v>
      </c>
      <c r="F186" s="9"/>
      <c r="G186" s="8">
        <f t="shared" si="4"/>
        <v>0</v>
      </c>
      <c r="H186" s="10" t="str">
        <f t="shared" si="5"/>
        <v>Clasificado</v>
      </c>
    </row>
    <row r="187" spans="1:8" ht="15" hidden="1" customHeight="1" x14ac:dyDescent="0.35">
      <c r="A187" s="11">
        <v>19494</v>
      </c>
      <c r="B187" s="11" t="s">
        <v>390</v>
      </c>
      <c r="C187" s="11" t="s">
        <v>391</v>
      </c>
      <c r="D187" s="12">
        <v>2</v>
      </c>
      <c r="E187" s="9">
        <v>2</v>
      </c>
      <c r="F187" s="9"/>
      <c r="G187" s="8">
        <f t="shared" si="4"/>
        <v>0</v>
      </c>
      <c r="H187" s="10" t="str">
        <f t="shared" si="5"/>
        <v>Clasificado</v>
      </c>
    </row>
    <row r="188" spans="1:8" ht="15" hidden="1" customHeight="1" x14ac:dyDescent="0.35">
      <c r="A188" s="7">
        <v>19776</v>
      </c>
      <c r="B188" s="7" t="s">
        <v>392</v>
      </c>
      <c r="C188" s="7" t="s">
        <v>393</v>
      </c>
      <c r="D188" s="8">
        <v>0</v>
      </c>
      <c r="E188" s="9">
        <v>0</v>
      </c>
      <c r="F188" s="9"/>
      <c r="G188" s="8">
        <f t="shared" si="4"/>
        <v>0</v>
      </c>
      <c r="H188" s="10" t="str">
        <f t="shared" si="5"/>
        <v>Clasificado</v>
      </c>
    </row>
    <row r="189" spans="1:8" ht="15" hidden="1" customHeight="1" x14ac:dyDescent="0.35">
      <c r="A189" s="11">
        <v>19777</v>
      </c>
      <c r="B189" s="11" t="s">
        <v>394</v>
      </c>
      <c r="C189" s="11" t="s">
        <v>395</v>
      </c>
      <c r="D189" s="12">
        <v>7</v>
      </c>
      <c r="E189" s="9">
        <v>7</v>
      </c>
      <c r="F189" s="9"/>
      <c r="G189" s="8">
        <f t="shared" si="4"/>
        <v>0</v>
      </c>
      <c r="H189" s="10" t="str">
        <f t="shared" si="5"/>
        <v>Clasificado</v>
      </c>
    </row>
    <row r="190" spans="1:8" ht="15" hidden="1" customHeight="1" x14ac:dyDescent="0.35">
      <c r="A190" s="7">
        <v>19778</v>
      </c>
      <c r="B190" s="7" t="s">
        <v>396</v>
      </c>
      <c r="C190" s="7" t="s">
        <v>397</v>
      </c>
      <c r="D190" s="8">
        <v>139</v>
      </c>
      <c r="E190" s="9">
        <v>139</v>
      </c>
      <c r="F190" s="9"/>
      <c r="G190" s="8">
        <f t="shared" si="4"/>
        <v>0</v>
      </c>
      <c r="H190" s="10" t="str">
        <f t="shared" si="5"/>
        <v>Clasificado</v>
      </c>
    </row>
    <row r="191" spans="1:8" ht="15" hidden="1" customHeight="1" x14ac:dyDescent="0.35">
      <c r="A191" s="11">
        <v>19779</v>
      </c>
      <c r="B191" s="11" t="s">
        <v>398</v>
      </c>
      <c r="C191" s="11" t="s">
        <v>399</v>
      </c>
      <c r="D191" s="12">
        <v>83</v>
      </c>
      <c r="E191" s="9">
        <v>83</v>
      </c>
      <c r="F191" s="9"/>
      <c r="G191" s="8">
        <f t="shared" si="4"/>
        <v>0</v>
      </c>
      <c r="H191" s="10" t="str">
        <f t="shared" si="5"/>
        <v>Clasificado</v>
      </c>
    </row>
    <row r="192" spans="1:8" ht="15" hidden="1" customHeight="1" x14ac:dyDescent="0.35">
      <c r="A192" s="7">
        <v>19780</v>
      </c>
      <c r="B192" s="7" t="s">
        <v>400</v>
      </c>
      <c r="C192" s="7" t="s">
        <v>401</v>
      </c>
      <c r="D192" s="8">
        <v>85</v>
      </c>
      <c r="E192" s="9">
        <v>85</v>
      </c>
      <c r="F192" s="9"/>
      <c r="G192" s="8">
        <f t="shared" si="4"/>
        <v>0</v>
      </c>
      <c r="H192" s="10" t="str">
        <f t="shared" si="5"/>
        <v>Clasificado</v>
      </c>
    </row>
    <row r="193" spans="1:8" ht="15" hidden="1" customHeight="1" x14ac:dyDescent="0.35">
      <c r="A193" s="11">
        <v>19781</v>
      </c>
      <c r="B193" s="11" t="s">
        <v>402</v>
      </c>
      <c r="C193" s="11" t="s">
        <v>403</v>
      </c>
      <c r="D193" s="12">
        <v>6</v>
      </c>
      <c r="E193" s="9">
        <v>6</v>
      </c>
      <c r="F193" s="9"/>
      <c r="G193" s="8">
        <f t="shared" si="4"/>
        <v>0</v>
      </c>
      <c r="H193" s="10" t="str">
        <f t="shared" si="5"/>
        <v>Clasificado</v>
      </c>
    </row>
    <row r="194" spans="1:8" ht="15" hidden="1" customHeight="1" x14ac:dyDescent="0.35">
      <c r="A194" s="7">
        <v>19782</v>
      </c>
      <c r="B194" s="7" t="s">
        <v>404</v>
      </c>
      <c r="C194" s="7" t="s">
        <v>405</v>
      </c>
      <c r="D194" s="8">
        <v>2</v>
      </c>
      <c r="E194" s="9">
        <v>2</v>
      </c>
      <c r="F194" s="9"/>
      <c r="G194" s="8">
        <f t="shared" si="4"/>
        <v>0</v>
      </c>
      <c r="H194" s="10" t="str">
        <f t="shared" si="5"/>
        <v>Clasificado</v>
      </c>
    </row>
    <row r="195" spans="1:8" ht="15" hidden="1" customHeight="1" x14ac:dyDescent="0.35">
      <c r="A195" s="11">
        <v>19792</v>
      </c>
      <c r="B195" s="11" t="s">
        <v>406</v>
      </c>
      <c r="C195" s="11" t="s">
        <v>407</v>
      </c>
      <c r="D195" s="12">
        <v>14</v>
      </c>
      <c r="E195" s="9">
        <v>14</v>
      </c>
      <c r="F195" s="9"/>
      <c r="G195" s="8">
        <f t="shared" ref="G195:G254" si="6">D195-E195-F195</f>
        <v>0</v>
      </c>
      <c r="H195" s="10" t="str">
        <f t="shared" ref="H195:H254" si="7">IF(AND(E195="",F195=""),"Sin revisar",IF(G195=0,"Clasificado","Revisar"))</f>
        <v>Clasificado</v>
      </c>
    </row>
    <row r="196" spans="1:8" ht="15" hidden="1" customHeight="1" x14ac:dyDescent="0.35">
      <c r="A196" s="7">
        <v>19793</v>
      </c>
      <c r="B196" s="7" t="s">
        <v>408</v>
      </c>
      <c r="C196" s="7" t="s">
        <v>409</v>
      </c>
      <c r="D196" s="8">
        <v>40</v>
      </c>
      <c r="E196" s="9">
        <v>40</v>
      </c>
      <c r="F196" s="9"/>
      <c r="G196" s="8">
        <f t="shared" si="6"/>
        <v>0</v>
      </c>
      <c r="H196" s="10" t="str">
        <f t="shared" si="7"/>
        <v>Clasificado</v>
      </c>
    </row>
    <row r="197" spans="1:8" ht="15" hidden="1" customHeight="1" x14ac:dyDescent="0.35">
      <c r="A197" s="11">
        <v>19794</v>
      </c>
      <c r="B197" s="11" t="s">
        <v>410</v>
      </c>
      <c r="C197" s="11" t="s">
        <v>411</v>
      </c>
      <c r="D197" s="12">
        <v>20</v>
      </c>
      <c r="E197" s="9">
        <v>20</v>
      </c>
      <c r="F197" s="9"/>
      <c r="G197" s="8">
        <f t="shared" si="6"/>
        <v>0</v>
      </c>
      <c r="H197" s="10" t="str">
        <f t="shared" si="7"/>
        <v>Clasificado</v>
      </c>
    </row>
    <row r="198" spans="1:8" ht="15" hidden="1" customHeight="1" x14ac:dyDescent="0.35">
      <c r="A198" s="7">
        <v>19795</v>
      </c>
      <c r="B198" s="7" t="s">
        <v>412</v>
      </c>
      <c r="C198" s="7" t="s">
        <v>413</v>
      </c>
      <c r="D198" s="8">
        <v>20</v>
      </c>
      <c r="E198" s="9">
        <v>20</v>
      </c>
      <c r="F198" s="9"/>
      <c r="G198" s="8">
        <f t="shared" si="6"/>
        <v>0</v>
      </c>
      <c r="H198" s="10" t="str">
        <f t="shared" si="7"/>
        <v>Clasificado</v>
      </c>
    </row>
    <row r="199" spans="1:8" ht="15" hidden="1" customHeight="1" x14ac:dyDescent="0.35">
      <c r="A199" s="11">
        <v>19797</v>
      </c>
      <c r="B199" s="11" t="s">
        <v>414</v>
      </c>
      <c r="C199" s="11" t="s">
        <v>415</v>
      </c>
      <c r="D199" s="12">
        <v>1</v>
      </c>
      <c r="E199" s="9">
        <v>1</v>
      </c>
      <c r="F199" s="9"/>
      <c r="G199" s="8">
        <f t="shared" si="6"/>
        <v>0</v>
      </c>
      <c r="H199" s="10" t="str">
        <f t="shared" si="7"/>
        <v>Clasificado</v>
      </c>
    </row>
    <row r="200" spans="1:8" ht="15" hidden="1" customHeight="1" x14ac:dyDescent="0.35">
      <c r="A200" s="7">
        <v>19807</v>
      </c>
      <c r="B200" s="7" t="s">
        <v>416</v>
      </c>
      <c r="C200" s="7" t="s">
        <v>417</v>
      </c>
      <c r="D200" s="8">
        <v>6</v>
      </c>
      <c r="E200" s="9">
        <v>6</v>
      </c>
      <c r="F200" s="9"/>
      <c r="G200" s="8">
        <f t="shared" si="6"/>
        <v>0</v>
      </c>
      <c r="H200" s="10" t="str">
        <f t="shared" si="7"/>
        <v>Clasificado</v>
      </c>
    </row>
    <row r="201" spans="1:8" ht="15" hidden="1" customHeight="1" x14ac:dyDescent="0.35">
      <c r="A201" s="11">
        <v>19808</v>
      </c>
      <c r="B201" s="11" t="s">
        <v>418</v>
      </c>
      <c r="C201" s="11" t="s">
        <v>419</v>
      </c>
      <c r="D201" s="12">
        <v>75</v>
      </c>
      <c r="E201" s="9">
        <v>75</v>
      </c>
      <c r="F201" s="9"/>
      <c r="G201" s="8">
        <f t="shared" si="6"/>
        <v>0</v>
      </c>
      <c r="H201" s="10" t="str">
        <f t="shared" si="7"/>
        <v>Clasificado</v>
      </c>
    </row>
    <row r="202" spans="1:8" ht="15" hidden="1" customHeight="1" x14ac:dyDescent="0.35">
      <c r="A202" s="7">
        <v>19809</v>
      </c>
      <c r="B202" s="7" t="s">
        <v>420</v>
      </c>
      <c r="C202" s="7" t="s">
        <v>421</v>
      </c>
      <c r="D202" s="8">
        <v>72</v>
      </c>
      <c r="E202" s="9">
        <v>72</v>
      </c>
      <c r="F202" s="9"/>
      <c r="G202" s="8">
        <f t="shared" si="6"/>
        <v>0</v>
      </c>
      <c r="H202" s="10" t="str">
        <f t="shared" si="7"/>
        <v>Clasificado</v>
      </c>
    </row>
    <row r="203" spans="1:8" ht="15" hidden="1" customHeight="1" x14ac:dyDescent="0.35">
      <c r="A203" s="11">
        <v>19810</v>
      </c>
      <c r="B203" s="11" t="s">
        <v>422</v>
      </c>
      <c r="C203" s="11" t="s">
        <v>423</v>
      </c>
      <c r="D203" s="12">
        <v>37</v>
      </c>
      <c r="E203" s="9">
        <v>37</v>
      </c>
      <c r="F203" s="9"/>
      <c r="G203" s="8">
        <f t="shared" si="6"/>
        <v>0</v>
      </c>
      <c r="H203" s="10" t="str">
        <f t="shared" si="7"/>
        <v>Clasificado</v>
      </c>
    </row>
    <row r="204" spans="1:8" ht="15" hidden="1" customHeight="1" x14ac:dyDescent="0.35">
      <c r="A204" s="7">
        <v>19823</v>
      </c>
      <c r="B204" s="7" t="s">
        <v>424</v>
      </c>
      <c r="C204" s="7" t="s">
        <v>425</v>
      </c>
      <c r="D204" s="8">
        <v>4</v>
      </c>
      <c r="E204" s="9">
        <v>4</v>
      </c>
      <c r="F204" s="9"/>
      <c r="G204" s="8">
        <f t="shared" si="6"/>
        <v>0</v>
      </c>
      <c r="H204" s="10" t="str">
        <f t="shared" si="7"/>
        <v>Clasificado</v>
      </c>
    </row>
    <row r="205" spans="1:8" ht="15" hidden="1" customHeight="1" x14ac:dyDescent="0.35">
      <c r="A205" s="11">
        <v>19824</v>
      </c>
      <c r="B205" s="11" t="s">
        <v>426</v>
      </c>
      <c r="C205" s="11" t="s">
        <v>427</v>
      </c>
      <c r="D205" s="12">
        <v>0</v>
      </c>
      <c r="E205" s="9"/>
      <c r="F205" s="9">
        <v>1</v>
      </c>
      <c r="G205" s="8">
        <f t="shared" si="6"/>
        <v>-1</v>
      </c>
      <c r="H205" s="10" t="str">
        <f t="shared" si="7"/>
        <v>Revisar</v>
      </c>
    </row>
    <row r="206" spans="1:8" ht="15" hidden="1" customHeight="1" x14ac:dyDescent="0.35">
      <c r="A206" s="7">
        <v>19825</v>
      </c>
      <c r="B206" s="7" t="s">
        <v>428</v>
      </c>
      <c r="C206" s="7" t="s">
        <v>429</v>
      </c>
      <c r="D206" s="8">
        <v>0</v>
      </c>
      <c r="E206" s="9">
        <v>0</v>
      </c>
      <c r="F206" s="9"/>
      <c r="G206" s="8">
        <f t="shared" si="6"/>
        <v>0</v>
      </c>
      <c r="H206" s="10" t="str">
        <f t="shared" si="7"/>
        <v>Clasificado</v>
      </c>
    </row>
    <row r="207" spans="1:8" ht="15" hidden="1" customHeight="1" x14ac:dyDescent="0.35">
      <c r="A207" s="11">
        <v>19827</v>
      </c>
      <c r="B207" s="11" t="s">
        <v>430</v>
      </c>
      <c r="C207" s="11" t="s">
        <v>431</v>
      </c>
      <c r="D207" s="12">
        <v>1</v>
      </c>
      <c r="E207" s="9">
        <v>1</v>
      </c>
      <c r="F207" s="9"/>
      <c r="G207" s="8">
        <f t="shared" si="6"/>
        <v>0</v>
      </c>
      <c r="H207" s="10" t="str">
        <f t="shared" si="7"/>
        <v>Clasificado</v>
      </c>
    </row>
    <row r="208" spans="1:8" ht="15" hidden="1" customHeight="1" x14ac:dyDescent="0.35">
      <c r="A208" s="7">
        <v>19837</v>
      </c>
      <c r="B208" s="7" t="s">
        <v>432</v>
      </c>
      <c r="C208" s="7" t="s">
        <v>433</v>
      </c>
      <c r="D208" s="8">
        <v>0</v>
      </c>
      <c r="E208" s="9">
        <v>0</v>
      </c>
      <c r="F208" s="9"/>
      <c r="G208" s="8">
        <f t="shared" si="6"/>
        <v>0</v>
      </c>
      <c r="H208" s="10" t="str">
        <f t="shared" si="7"/>
        <v>Clasificado</v>
      </c>
    </row>
    <row r="209" spans="1:8" ht="15" hidden="1" customHeight="1" x14ac:dyDescent="0.35">
      <c r="A209" s="11">
        <v>19840</v>
      </c>
      <c r="B209" s="11" t="s">
        <v>434</v>
      </c>
      <c r="C209" s="11" t="s">
        <v>435</v>
      </c>
      <c r="D209" s="12">
        <v>2</v>
      </c>
      <c r="E209" s="9"/>
      <c r="F209" s="9">
        <v>2</v>
      </c>
      <c r="G209" s="8">
        <f t="shared" si="6"/>
        <v>0</v>
      </c>
      <c r="H209" s="10" t="str">
        <f t="shared" si="7"/>
        <v>Clasificado</v>
      </c>
    </row>
    <row r="210" spans="1:8" ht="15" hidden="1" customHeight="1" x14ac:dyDescent="0.35">
      <c r="A210" s="7">
        <v>20032</v>
      </c>
      <c r="B210" s="7" t="s">
        <v>436</v>
      </c>
      <c r="C210" s="7" t="s">
        <v>437</v>
      </c>
      <c r="D210" s="8">
        <v>29</v>
      </c>
      <c r="E210" s="9">
        <v>29</v>
      </c>
      <c r="F210" s="9"/>
      <c r="G210" s="8">
        <f t="shared" si="6"/>
        <v>0</v>
      </c>
      <c r="H210" s="10" t="str">
        <f t="shared" si="7"/>
        <v>Clasificado</v>
      </c>
    </row>
    <row r="211" spans="1:8" ht="15" hidden="1" customHeight="1" x14ac:dyDescent="0.35">
      <c r="A211" s="11">
        <v>20034</v>
      </c>
      <c r="B211" s="11" t="s">
        <v>438</v>
      </c>
      <c r="C211" s="11" t="s">
        <v>439</v>
      </c>
      <c r="D211" s="12">
        <v>7</v>
      </c>
      <c r="E211" s="9">
        <v>7</v>
      </c>
      <c r="F211" s="9"/>
      <c r="G211" s="8">
        <f t="shared" si="6"/>
        <v>0</v>
      </c>
      <c r="H211" s="10" t="str">
        <f t="shared" si="7"/>
        <v>Clasificado</v>
      </c>
    </row>
    <row r="212" spans="1:8" ht="15" hidden="1" customHeight="1" x14ac:dyDescent="0.35">
      <c r="A212" s="7">
        <v>20035</v>
      </c>
      <c r="B212" s="7" t="s">
        <v>440</v>
      </c>
      <c r="C212" s="7" t="s">
        <v>441</v>
      </c>
      <c r="D212" s="8">
        <v>6</v>
      </c>
      <c r="E212" s="9">
        <v>6</v>
      </c>
      <c r="F212" s="9"/>
      <c r="G212" s="8">
        <f t="shared" si="6"/>
        <v>0</v>
      </c>
      <c r="H212" s="10" t="str">
        <f t="shared" si="7"/>
        <v>Clasificado</v>
      </c>
    </row>
    <row r="213" spans="1:8" ht="15" hidden="1" customHeight="1" x14ac:dyDescent="0.35">
      <c r="A213" s="11">
        <v>20036</v>
      </c>
      <c r="B213" s="11" t="s">
        <v>442</v>
      </c>
      <c r="C213" s="11" t="s">
        <v>443</v>
      </c>
      <c r="D213" s="12">
        <v>5</v>
      </c>
      <c r="E213" s="9">
        <v>5</v>
      </c>
      <c r="F213" s="9"/>
      <c r="G213" s="8">
        <f t="shared" si="6"/>
        <v>0</v>
      </c>
      <c r="H213" s="10" t="str">
        <f t="shared" si="7"/>
        <v>Clasificado</v>
      </c>
    </row>
    <row r="214" spans="1:8" ht="15" hidden="1" customHeight="1" x14ac:dyDescent="0.35">
      <c r="A214" s="7">
        <v>20048</v>
      </c>
      <c r="B214" s="7" t="s">
        <v>444</v>
      </c>
      <c r="C214" s="7" t="s">
        <v>445</v>
      </c>
      <c r="D214" s="8">
        <v>33</v>
      </c>
      <c r="E214" s="9">
        <v>33</v>
      </c>
      <c r="F214" s="9"/>
      <c r="G214" s="8">
        <f t="shared" si="6"/>
        <v>0</v>
      </c>
      <c r="H214" s="10" t="str">
        <f t="shared" si="7"/>
        <v>Clasificado</v>
      </c>
    </row>
    <row r="215" spans="1:8" ht="15" hidden="1" customHeight="1" x14ac:dyDescent="0.35">
      <c r="A215" s="11">
        <v>20050</v>
      </c>
      <c r="B215" s="11" t="s">
        <v>446</v>
      </c>
      <c r="C215" s="11" t="s">
        <v>447</v>
      </c>
      <c r="D215" s="12">
        <v>7</v>
      </c>
      <c r="E215" s="9">
        <v>7</v>
      </c>
      <c r="F215" s="9"/>
      <c r="G215" s="8">
        <f t="shared" si="6"/>
        <v>0</v>
      </c>
      <c r="H215" s="10" t="str">
        <f t="shared" si="7"/>
        <v>Clasificado</v>
      </c>
    </row>
    <row r="216" spans="1:8" ht="15" hidden="1" customHeight="1" x14ac:dyDescent="0.35">
      <c r="A216" s="7">
        <v>20051</v>
      </c>
      <c r="B216" s="7" t="s">
        <v>448</v>
      </c>
      <c r="C216" s="7" t="s">
        <v>449</v>
      </c>
      <c r="D216" s="8">
        <v>29</v>
      </c>
      <c r="E216" s="9">
        <v>29</v>
      </c>
      <c r="F216" s="9"/>
      <c r="G216" s="8">
        <f t="shared" si="6"/>
        <v>0</v>
      </c>
      <c r="H216" s="10" t="str">
        <f t="shared" si="7"/>
        <v>Clasificado</v>
      </c>
    </row>
    <row r="217" spans="1:8" ht="15" hidden="1" customHeight="1" x14ac:dyDescent="0.35">
      <c r="A217" s="11">
        <v>20063</v>
      </c>
      <c r="B217" s="11" t="s">
        <v>450</v>
      </c>
      <c r="C217" s="11" t="s">
        <v>451</v>
      </c>
      <c r="D217" s="12">
        <v>23</v>
      </c>
      <c r="E217" s="9">
        <v>23</v>
      </c>
      <c r="F217" s="9"/>
      <c r="G217" s="8">
        <f t="shared" si="6"/>
        <v>0</v>
      </c>
      <c r="H217" s="10" t="str">
        <f t="shared" si="7"/>
        <v>Clasificado</v>
      </c>
    </row>
    <row r="218" spans="1:8" ht="15" hidden="1" customHeight="1" x14ac:dyDescent="0.35">
      <c r="A218" s="7">
        <v>20064</v>
      </c>
      <c r="B218" s="7" t="s">
        <v>452</v>
      </c>
      <c r="C218" s="7" t="s">
        <v>453</v>
      </c>
      <c r="D218" s="8">
        <v>29</v>
      </c>
      <c r="E218" s="9">
        <v>29</v>
      </c>
      <c r="F218" s="9"/>
      <c r="G218" s="8">
        <f t="shared" si="6"/>
        <v>0</v>
      </c>
      <c r="H218" s="10" t="str">
        <f t="shared" si="7"/>
        <v>Clasificado</v>
      </c>
    </row>
    <row r="219" spans="1:8" ht="15" hidden="1" customHeight="1" x14ac:dyDescent="0.35">
      <c r="A219" s="11">
        <v>20065</v>
      </c>
      <c r="B219" s="11" t="s">
        <v>454</v>
      </c>
      <c r="C219" s="11" t="s">
        <v>455</v>
      </c>
      <c r="D219" s="12">
        <v>1</v>
      </c>
      <c r="E219" s="9"/>
      <c r="F219" s="9">
        <v>1</v>
      </c>
      <c r="G219" s="8">
        <f t="shared" si="6"/>
        <v>0</v>
      </c>
      <c r="H219" s="10" t="str">
        <f t="shared" si="7"/>
        <v>Clasificado</v>
      </c>
    </row>
    <row r="220" spans="1:8" ht="15" hidden="1" customHeight="1" x14ac:dyDescent="0.35">
      <c r="A220" s="7">
        <v>20078</v>
      </c>
      <c r="B220" s="7" t="s">
        <v>456</v>
      </c>
      <c r="C220" s="7" t="s">
        <v>457</v>
      </c>
      <c r="D220" s="8">
        <v>16</v>
      </c>
      <c r="E220" s="9">
        <v>16</v>
      </c>
      <c r="F220" s="9"/>
      <c r="G220" s="8">
        <f t="shared" si="6"/>
        <v>0</v>
      </c>
      <c r="H220" s="10" t="str">
        <f t="shared" si="7"/>
        <v>Clasificado</v>
      </c>
    </row>
    <row r="221" spans="1:8" ht="15" hidden="1" customHeight="1" x14ac:dyDescent="0.35">
      <c r="A221" s="11">
        <v>20079</v>
      </c>
      <c r="B221" s="11" t="s">
        <v>458</v>
      </c>
      <c r="C221" s="11" t="s">
        <v>459</v>
      </c>
      <c r="D221" s="12">
        <v>17</v>
      </c>
      <c r="E221" s="9">
        <v>17</v>
      </c>
      <c r="F221" s="9"/>
      <c r="G221" s="8">
        <f t="shared" si="6"/>
        <v>0</v>
      </c>
      <c r="H221" s="10" t="str">
        <f t="shared" si="7"/>
        <v>Clasificado</v>
      </c>
    </row>
    <row r="222" spans="1:8" ht="15" hidden="1" customHeight="1" x14ac:dyDescent="0.35">
      <c r="A222" s="7">
        <v>20082</v>
      </c>
      <c r="B222" s="7" t="s">
        <v>460</v>
      </c>
      <c r="C222" s="7" t="s">
        <v>461</v>
      </c>
      <c r="D222" s="8">
        <v>1</v>
      </c>
      <c r="E222" s="9">
        <v>1</v>
      </c>
      <c r="F222" s="9"/>
      <c r="G222" s="8">
        <f t="shared" si="6"/>
        <v>0</v>
      </c>
      <c r="H222" s="10" t="str">
        <f t="shared" si="7"/>
        <v>Clasificado</v>
      </c>
    </row>
    <row r="223" spans="1:8" ht="15" hidden="1" customHeight="1" x14ac:dyDescent="0.35">
      <c r="A223" s="11">
        <v>20096</v>
      </c>
      <c r="B223" s="11" t="s">
        <v>462</v>
      </c>
      <c r="C223" s="11" t="s">
        <v>463</v>
      </c>
      <c r="D223" s="12">
        <v>5</v>
      </c>
      <c r="E223" s="9">
        <v>5</v>
      </c>
      <c r="F223" s="9"/>
      <c r="G223" s="8">
        <f t="shared" si="6"/>
        <v>0</v>
      </c>
      <c r="H223" s="10" t="str">
        <f t="shared" si="7"/>
        <v>Clasificado</v>
      </c>
    </row>
    <row r="224" spans="1:8" ht="15" hidden="1" customHeight="1" x14ac:dyDescent="0.35">
      <c r="A224" s="7">
        <v>20097</v>
      </c>
      <c r="B224" s="7" t="s">
        <v>464</v>
      </c>
      <c r="C224" s="7" t="s">
        <v>465</v>
      </c>
      <c r="D224" s="8">
        <v>2</v>
      </c>
      <c r="E224" s="9">
        <v>2</v>
      </c>
      <c r="F224" s="9"/>
      <c r="G224" s="8">
        <f t="shared" si="6"/>
        <v>0</v>
      </c>
      <c r="H224" s="10" t="str">
        <f t="shared" si="7"/>
        <v>Clasificado</v>
      </c>
    </row>
    <row r="225" spans="1:8" ht="15" hidden="1" customHeight="1" x14ac:dyDescent="0.35">
      <c r="A225" s="11">
        <v>20107</v>
      </c>
      <c r="B225" s="11" t="s">
        <v>466</v>
      </c>
      <c r="C225" s="11" t="s">
        <v>467</v>
      </c>
      <c r="D225" s="12">
        <v>1</v>
      </c>
      <c r="E225" s="9">
        <v>1</v>
      </c>
      <c r="F225" s="9"/>
      <c r="G225" s="8">
        <f t="shared" si="6"/>
        <v>0</v>
      </c>
      <c r="H225" s="10" t="str">
        <f t="shared" si="7"/>
        <v>Clasificado</v>
      </c>
    </row>
    <row r="226" spans="1:8" ht="15" hidden="1" customHeight="1" x14ac:dyDescent="0.35">
      <c r="A226" s="7">
        <v>20109</v>
      </c>
      <c r="B226" s="7" t="s">
        <v>468</v>
      </c>
      <c r="C226" s="7" t="s">
        <v>469</v>
      </c>
      <c r="D226" s="8">
        <v>16</v>
      </c>
      <c r="E226" s="9">
        <v>16</v>
      </c>
      <c r="F226" s="9"/>
      <c r="G226" s="8">
        <f t="shared" si="6"/>
        <v>0</v>
      </c>
      <c r="H226" s="10" t="str">
        <f t="shared" si="7"/>
        <v>Clasificado</v>
      </c>
    </row>
    <row r="227" spans="1:8" ht="15" hidden="1" customHeight="1" x14ac:dyDescent="0.35">
      <c r="A227" s="11">
        <v>20110</v>
      </c>
      <c r="B227" s="11" t="s">
        <v>470</v>
      </c>
      <c r="C227" s="11" t="s">
        <v>471</v>
      </c>
      <c r="D227" s="12">
        <v>1</v>
      </c>
      <c r="E227" s="9">
        <v>1</v>
      </c>
      <c r="F227" s="9"/>
      <c r="G227" s="8">
        <f t="shared" si="6"/>
        <v>0</v>
      </c>
      <c r="H227" s="10" t="str">
        <f t="shared" si="7"/>
        <v>Clasificado</v>
      </c>
    </row>
    <row r="228" spans="1:8" ht="15" hidden="1" customHeight="1" x14ac:dyDescent="0.35">
      <c r="A228" s="7">
        <v>20112</v>
      </c>
      <c r="B228" s="7" t="s">
        <v>472</v>
      </c>
      <c r="C228" s="7" t="s">
        <v>473</v>
      </c>
      <c r="D228" s="8">
        <v>1</v>
      </c>
      <c r="E228" s="9">
        <v>1</v>
      </c>
      <c r="F228" s="9"/>
      <c r="G228" s="8">
        <f t="shared" si="6"/>
        <v>0</v>
      </c>
      <c r="H228" s="10" t="str">
        <f t="shared" si="7"/>
        <v>Clasificado</v>
      </c>
    </row>
    <row r="229" spans="1:8" ht="15" hidden="1" customHeight="1" x14ac:dyDescent="0.35">
      <c r="A229" s="11">
        <v>20125</v>
      </c>
      <c r="B229" s="11" t="s">
        <v>474</v>
      </c>
      <c r="C229" s="11" t="s">
        <v>475</v>
      </c>
      <c r="D229" s="12">
        <v>1</v>
      </c>
      <c r="E229" s="9"/>
      <c r="F229" s="9">
        <v>1</v>
      </c>
      <c r="G229" s="8">
        <f t="shared" si="6"/>
        <v>0</v>
      </c>
      <c r="H229" s="10" t="str">
        <f t="shared" si="7"/>
        <v>Clasificado</v>
      </c>
    </row>
    <row r="230" spans="1:8" ht="15" hidden="1" customHeight="1" x14ac:dyDescent="0.35">
      <c r="A230" s="7">
        <v>20127</v>
      </c>
      <c r="B230" s="7" t="s">
        <v>476</v>
      </c>
      <c r="C230" s="7" t="s">
        <v>477</v>
      </c>
      <c r="D230" s="8">
        <v>1</v>
      </c>
      <c r="E230" s="9">
        <v>1</v>
      </c>
      <c r="F230" s="9"/>
      <c r="G230" s="8">
        <f t="shared" si="6"/>
        <v>0</v>
      </c>
      <c r="H230" s="10" t="str">
        <f t="shared" si="7"/>
        <v>Clasificado</v>
      </c>
    </row>
    <row r="231" spans="1:8" ht="15" customHeight="1" x14ac:dyDescent="0.35">
      <c r="A231" s="11">
        <v>21187</v>
      </c>
      <c r="B231" s="11" t="s">
        <v>478</v>
      </c>
      <c r="C231" s="11" t="s">
        <v>479</v>
      </c>
      <c r="D231" s="12">
        <v>4</v>
      </c>
      <c r="E231" s="9">
        <v>4</v>
      </c>
      <c r="F231" s="9"/>
      <c r="G231" s="8">
        <f t="shared" si="6"/>
        <v>0</v>
      </c>
      <c r="H231" s="10" t="str">
        <f t="shared" si="7"/>
        <v>Clasificado</v>
      </c>
    </row>
    <row r="232" spans="1:8" ht="15" customHeight="1" x14ac:dyDescent="0.35">
      <c r="A232" s="7">
        <v>21189</v>
      </c>
      <c r="B232" s="7" t="s">
        <v>480</v>
      </c>
      <c r="C232" s="7" t="s">
        <v>481</v>
      </c>
      <c r="D232" s="8">
        <v>4</v>
      </c>
      <c r="E232" s="9">
        <v>4</v>
      </c>
      <c r="F232" s="9"/>
      <c r="G232" s="8">
        <f t="shared" si="6"/>
        <v>0</v>
      </c>
      <c r="H232" s="10" t="str">
        <f t="shared" si="7"/>
        <v>Clasificado</v>
      </c>
    </row>
    <row r="233" spans="1:8" ht="15" customHeight="1" x14ac:dyDescent="0.35">
      <c r="A233" s="11">
        <v>21190</v>
      </c>
      <c r="B233" s="11" t="s">
        <v>482</v>
      </c>
      <c r="C233" s="11" t="s">
        <v>483</v>
      </c>
      <c r="D233" s="12">
        <v>2</v>
      </c>
      <c r="E233" s="9">
        <v>2</v>
      </c>
      <c r="F233" s="9"/>
      <c r="G233" s="8">
        <f t="shared" si="6"/>
        <v>0</v>
      </c>
      <c r="H233" s="10" t="str">
        <f t="shared" si="7"/>
        <v>Clasificado</v>
      </c>
    </row>
    <row r="234" spans="1:8" ht="15" customHeight="1" x14ac:dyDescent="0.35">
      <c r="A234" s="7">
        <v>21199</v>
      </c>
      <c r="B234" s="7" t="s">
        <v>484</v>
      </c>
      <c r="C234" s="7" t="s">
        <v>485</v>
      </c>
      <c r="D234" s="8">
        <v>21</v>
      </c>
      <c r="E234" s="9">
        <v>21</v>
      </c>
      <c r="F234" s="9"/>
      <c r="G234" s="8">
        <f t="shared" si="6"/>
        <v>0</v>
      </c>
      <c r="H234" s="10" t="str">
        <f t="shared" si="7"/>
        <v>Clasificado</v>
      </c>
    </row>
    <row r="235" spans="1:8" ht="15" customHeight="1" x14ac:dyDescent="0.35">
      <c r="A235" s="11">
        <v>21200</v>
      </c>
      <c r="B235" s="11" t="s">
        <v>486</v>
      </c>
      <c r="C235" s="11" t="s">
        <v>487</v>
      </c>
      <c r="D235" s="12">
        <v>15</v>
      </c>
      <c r="E235" s="9">
        <v>15</v>
      </c>
      <c r="F235" s="9"/>
      <c r="G235" s="8">
        <f t="shared" si="6"/>
        <v>0</v>
      </c>
      <c r="H235" s="10" t="str">
        <f t="shared" si="7"/>
        <v>Clasificado</v>
      </c>
    </row>
    <row r="236" spans="1:8" ht="15" customHeight="1" x14ac:dyDescent="0.35">
      <c r="A236" s="7">
        <v>21201</v>
      </c>
      <c r="B236" s="7" t="s">
        <v>488</v>
      </c>
      <c r="C236" s="7" t="s">
        <v>489</v>
      </c>
      <c r="D236" s="8">
        <v>28</v>
      </c>
      <c r="E236" s="9">
        <v>28</v>
      </c>
      <c r="F236" s="9"/>
      <c r="G236" s="8">
        <f t="shared" si="6"/>
        <v>0</v>
      </c>
      <c r="H236" s="10" t="str">
        <f t="shared" si="7"/>
        <v>Clasificado</v>
      </c>
    </row>
    <row r="237" spans="1:8" ht="15" customHeight="1" x14ac:dyDescent="0.35">
      <c r="A237" s="11">
        <v>21202</v>
      </c>
      <c r="B237" s="11" t="s">
        <v>490</v>
      </c>
      <c r="C237" s="11" t="s">
        <v>491</v>
      </c>
      <c r="D237" s="12">
        <v>5</v>
      </c>
      <c r="E237" s="9">
        <v>5</v>
      </c>
      <c r="F237" s="9"/>
      <c r="G237" s="8">
        <f t="shared" si="6"/>
        <v>0</v>
      </c>
      <c r="H237" s="10" t="str">
        <f t="shared" si="7"/>
        <v>Clasificado</v>
      </c>
    </row>
    <row r="238" spans="1:8" ht="15" customHeight="1" x14ac:dyDescent="0.35">
      <c r="A238" s="7">
        <v>21204</v>
      </c>
      <c r="B238" s="7" t="s">
        <v>492</v>
      </c>
      <c r="C238" s="7" t="s">
        <v>493</v>
      </c>
      <c r="D238" s="8">
        <v>1</v>
      </c>
      <c r="E238" s="9">
        <v>1</v>
      </c>
      <c r="F238" s="9"/>
      <c r="G238" s="8">
        <f t="shared" si="6"/>
        <v>0</v>
      </c>
      <c r="H238" s="10" t="str">
        <f t="shared" si="7"/>
        <v>Clasificado</v>
      </c>
    </row>
    <row r="239" spans="1:8" ht="15" customHeight="1" x14ac:dyDescent="0.35">
      <c r="A239" s="11">
        <v>21206</v>
      </c>
      <c r="B239" s="11" t="s">
        <v>494</v>
      </c>
      <c r="C239" s="11" t="s">
        <v>495</v>
      </c>
      <c r="D239" s="12">
        <v>1</v>
      </c>
      <c r="E239" s="9">
        <v>1</v>
      </c>
      <c r="F239" s="9"/>
      <c r="G239" s="8">
        <f t="shared" si="6"/>
        <v>0</v>
      </c>
      <c r="H239" s="10" t="str">
        <f t="shared" si="7"/>
        <v>Clasificado</v>
      </c>
    </row>
    <row r="240" spans="1:8" ht="15" customHeight="1" x14ac:dyDescent="0.35">
      <c r="A240" s="7">
        <v>21210</v>
      </c>
      <c r="B240" s="7" t="s">
        <v>496</v>
      </c>
      <c r="C240" s="7" t="s">
        <v>497</v>
      </c>
      <c r="D240" s="8">
        <v>1</v>
      </c>
      <c r="E240" s="9">
        <v>1</v>
      </c>
      <c r="F240" s="9"/>
      <c r="G240" s="8">
        <f t="shared" si="6"/>
        <v>0</v>
      </c>
      <c r="H240" s="10" t="str">
        <f t="shared" si="7"/>
        <v>Clasificado</v>
      </c>
    </row>
    <row r="241" spans="1:8" ht="15" customHeight="1" x14ac:dyDescent="0.35">
      <c r="A241" s="11">
        <v>21213</v>
      </c>
      <c r="B241" s="11" t="s">
        <v>498</v>
      </c>
      <c r="C241" s="11" t="s">
        <v>499</v>
      </c>
      <c r="D241" s="12">
        <v>17</v>
      </c>
      <c r="E241" s="9">
        <v>17</v>
      </c>
      <c r="F241" s="9"/>
      <c r="G241" s="8">
        <f t="shared" si="6"/>
        <v>0</v>
      </c>
      <c r="H241" s="10" t="str">
        <f t="shared" si="7"/>
        <v>Clasificado</v>
      </c>
    </row>
    <row r="242" spans="1:8" ht="15" customHeight="1" x14ac:dyDescent="0.35">
      <c r="A242" s="7">
        <v>21214</v>
      </c>
      <c r="B242" s="7" t="s">
        <v>500</v>
      </c>
      <c r="C242" s="7" t="s">
        <v>501</v>
      </c>
      <c r="D242" s="8">
        <v>20</v>
      </c>
      <c r="E242" s="9">
        <v>20</v>
      </c>
      <c r="F242" s="9"/>
      <c r="G242" s="8">
        <f t="shared" si="6"/>
        <v>0</v>
      </c>
      <c r="H242" s="10" t="str">
        <f t="shared" si="7"/>
        <v>Clasificado</v>
      </c>
    </row>
    <row r="243" spans="1:8" ht="15" customHeight="1" x14ac:dyDescent="0.35">
      <c r="A243" s="11">
        <v>21215</v>
      </c>
      <c r="B243" s="11" t="s">
        <v>502</v>
      </c>
      <c r="C243" s="11" t="s">
        <v>503</v>
      </c>
      <c r="D243" s="12">
        <v>24</v>
      </c>
      <c r="E243" s="9">
        <v>24</v>
      </c>
      <c r="F243" s="9"/>
      <c r="G243" s="8">
        <f t="shared" si="6"/>
        <v>0</v>
      </c>
      <c r="H243" s="10" t="str">
        <f t="shared" si="7"/>
        <v>Clasificado</v>
      </c>
    </row>
    <row r="244" spans="1:8" ht="15" customHeight="1" x14ac:dyDescent="0.35">
      <c r="A244" s="7">
        <v>21216</v>
      </c>
      <c r="B244" s="7" t="s">
        <v>504</v>
      </c>
      <c r="C244" s="7" t="s">
        <v>505</v>
      </c>
      <c r="D244" s="8">
        <v>2</v>
      </c>
      <c r="E244" s="9">
        <v>2</v>
      </c>
      <c r="F244" s="9"/>
      <c r="G244" s="8">
        <f t="shared" si="6"/>
        <v>0</v>
      </c>
      <c r="H244" s="10" t="str">
        <f t="shared" si="7"/>
        <v>Clasificado</v>
      </c>
    </row>
    <row r="245" spans="1:8" ht="15" customHeight="1" x14ac:dyDescent="0.35">
      <c r="A245" s="11">
        <v>21222</v>
      </c>
      <c r="B245" s="11" t="s">
        <v>506</v>
      </c>
      <c r="C245" s="11" t="s">
        <v>507</v>
      </c>
      <c r="D245" s="12">
        <v>1</v>
      </c>
      <c r="E245" s="9">
        <v>1</v>
      </c>
      <c r="F245" s="9"/>
      <c r="G245" s="8">
        <f t="shared" si="6"/>
        <v>0</v>
      </c>
      <c r="H245" s="10" t="str">
        <f t="shared" si="7"/>
        <v>Clasificado</v>
      </c>
    </row>
    <row r="246" spans="1:8" ht="15" customHeight="1" x14ac:dyDescent="0.35">
      <c r="A246" s="7">
        <v>21235</v>
      </c>
      <c r="B246" s="7" t="s">
        <v>508</v>
      </c>
      <c r="C246" s="7" t="s">
        <v>509</v>
      </c>
      <c r="D246" s="8">
        <v>1</v>
      </c>
      <c r="E246" s="9">
        <v>1</v>
      </c>
      <c r="F246" s="9"/>
      <c r="G246" s="8">
        <f t="shared" si="6"/>
        <v>0</v>
      </c>
      <c r="H246" s="10" t="str">
        <f t="shared" si="7"/>
        <v>Clasificado</v>
      </c>
    </row>
    <row r="247" spans="1:8" ht="15" customHeight="1" x14ac:dyDescent="0.35">
      <c r="A247" s="11">
        <v>21246</v>
      </c>
      <c r="B247" s="11" t="s">
        <v>510</v>
      </c>
      <c r="C247" s="11" t="s">
        <v>511</v>
      </c>
      <c r="D247" s="12">
        <v>2</v>
      </c>
      <c r="E247" s="9">
        <v>2</v>
      </c>
      <c r="F247" s="9"/>
      <c r="G247" s="8">
        <f t="shared" si="6"/>
        <v>0</v>
      </c>
      <c r="H247" s="10" t="str">
        <f t="shared" si="7"/>
        <v>Clasificado</v>
      </c>
    </row>
    <row r="248" spans="1:8" ht="15" customHeight="1" x14ac:dyDescent="0.35">
      <c r="A248" s="7">
        <v>21247</v>
      </c>
      <c r="B248" s="7" t="s">
        <v>512</v>
      </c>
      <c r="C248" s="7" t="s">
        <v>513</v>
      </c>
      <c r="D248" s="8">
        <v>4</v>
      </c>
      <c r="E248" s="9">
        <v>4</v>
      </c>
      <c r="F248" s="9"/>
      <c r="G248" s="8">
        <f t="shared" si="6"/>
        <v>0</v>
      </c>
      <c r="H248" s="10" t="str">
        <f t="shared" si="7"/>
        <v>Clasificado</v>
      </c>
    </row>
    <row r="249" spans="1:8" ht="15" customHeight="1" x14ac:dyDescent="0.35">
      <c r="A249" s="11">
        <v>21249</v>
      </c>
      <c r="B249" s="11" t="s">
        <v>514</v>
      </c>
      <c r="C249" s="11" t="s">
        <v>515</v>
      </c>
      <c r="D249" s="12">
        <v>19</v>
      </c>
      <c r="E249" s="9">
        <v>19</v>
      </c>
      <c r="F249" s="9"/>
      <c r="G249" s="8">
        <f t="shared" si="6"/>
        <v>0</v>
      </c>
      <c r="H249" s="10" t="str">
        <f t="shared" si="7"/>
        <v>Clasificado</v>
      </c>
    </row>
    <row r="250" spans="1:8" ht="15" customHeight="1" x14ac:dyDescent="0.35">
      <c r="A250" s="7">
        <v>21250</v>
      </c>
      <c r="B250" s="7" t="s">
        <v>516</v>
      </c>
      <c r="C250" s="7" t="s">
        <v>517</v>
      </c>
      <c r="D250" s="8">
        <v>11</v>
      </c>
      <c r="E250" s="9">
        <v>11</v>
      </c>
      <c r="F250" s="9"/>
      <c r="G250" s="8">
        <f t="shared" si="6"/>
        <v>0</v>
      </c>
      <c r="H250" s="10" t="str">
        <f t="shared" si="7"/>
        <v>Clasificado</v>
      </c>
    </row>
    <row r="251" spans="1:8" ht="15" customHeight="1" x14ac:dyDescent="0.35">
      <c r="A251" s="11">
        <v>21251</v>
      </c>
      <c r="B251" s="11" t="s">
        <v>518</v>
      </c>
      <c r="C251" s="11" t="s">
        <v>519</v>
      </c>
      <c r="D251" s="12">
        <v>20</v>
      </c>
      <c r="E251" s="9">
        <v>20</v>
      </c>
      <c r="F251" s="9"/>
      <c r="G251" s="8">
        <f t="shared" si="6"/>
        <v>0</v>
      </c>
      <c r="H251" s="10" t="str">
        <f t="shared" si="7"/>
        <v>Clasificado</v>
      </c>
    </row>
    <row r="252" spans="1:8" ht="15" customHeight="1" x14ac:dyDescent="0.35">
      <c r="A252" s="7">
        <v>21252</v>
      </c>
      <c r="B252" s="7" t="s">
        <v>520</v>
      </c>
      <c r="C252" s="7" t="s">
        <v>521</v>
      </c>
      <c r="D252" s="8">
        <v>8</v>
      </c>
      <c r="E252" s="9">
        <v>8</v>
      </c>
      <c r="F252" s="9"/>
      <c r="G252" s="8">
        <f t="shared" si="6"/>
        <v>0</v>
      </c>
      <c r="H252" s="10" t="str">
        <f t="shared" si="7"/>
        <v>Clasificado</v>
      </c>
    </row>
    <row r="253" spans="1:8" ht="15" customHeight="1" x14ac:dyDescent="0.35">
      <c r="A253" s="11">
        <v>21253</v>
      </c>
      <c r="B253" s="11" t="s">
        <v>522</v>
      </c>
      <c r="C253" s="11" t="s">
        <v>523</v>
      </c>
      <c r="D253" s="12">
        <v>1</v>
      </c>
      <c r="E253" s="9">
        <v>1</v>
      </c>
      <c r="F253" s="9"/>
      <c r="G253" s="8">
        <f t="shared" si="6"/>
        <v>0</v>
      </c>
      <c r="H253" s="10" t="str">
        <f t="shared" si="7"/>
        <v>Clasificado</v>
      </c>
    </row>
    <row r="254" spans="1:8" ht="15" customHeight="1" x14ac:dyDescent="0.35">
      <c r="A254" s="7">
        <v>21254</v>
      </c>
      <c r="B254" s="7" t="s">
        <v>524</v>
      </c>
      <c r="C254" s="7" t="s">
        <v>525</v>
      </c>
      <c r="D254" s="8">
        <v>2</v>
      </c>
      <c r="E254" s="9">
        <v>2</v>
      </c>
      <c r="F254" s="9"/>
      <c r="G254" s="8">
        <f t="shared" si="6"/>
        <v>0</v>
      </c>
      <c r="H254" s="10" t="str">
        <f t="shared" si="7"/>
        <v>Clasificado</v>
      </c>
    </row>
  </sheetData>
  <autoFilter ref="A2:H254" xr:uid="{F17A2440-8ADA-4319-A246-06BBD7564B18}">
    <filterColumn colId="1">
      <filters>
        <filter val="B TEX 4 MC NEGRO ROJO L"/>
        <filter val="B TEX 4 ML NEGRO VERDE 2XL"/>
        <filter val="B TEX 4 ML NEGRO VERDE S"/>
        <filter val="B TEX C MC NEGRO ROJO 2XL"/>
        <filter val="B TEX C MC NEGRO ROJO 3XL"/>
        <filter val="B TEX C MC NEGRO ROJO L"/>
        <filter val="B TEX C MC NEGRO VERDE S"/>
        <filter val="B TEX C MC ROJO NEGRO 2XL"/>
        <filter val="B TEX C MC ROJO NEGRO 3XL"/>
        <filter val="B TEX C ML NEGRO BLANCO 2XL"/>
        <filter val="B TEX C ML NEGRO BLANCO 3XL"/>
        <filter val="B TEX C ML NEGRO BLANCO L"/>
        <filter val="B TEX C ML NEGRO BLANCO M"/>
        <filter val="B TEX C ML NEGRO BLANCO S"/>
        <filter val="B TEX C ML NEGRO BLANCO XL"/>
        <filter val="B TEX C ML NEGRO ROJO 3XL"/>
        <filter val="B TEX C ML NEGRO ROJO L"/>
        <filter val="B TEX C ML NEGRO ROJO M"/>
        <filter val="B TEX C ML NEGRO ROJO S"/>
        <filter val="B TEX C ML NEGRO ROJO XL"/>
        <filter val="B TEX C ML NEGRO VERDE L"/>
        <filter val="B TEX C ML NEGRO VERDE M"/>
        <filter val="B TEX C ML NEGRO VERDE S"/>
        <filter val="B TEX C ML NEGRO VERDE XL"/>
      </filters>
    </filterColumn>
  </autoFilter>
  <mergeCells count="1">
    <mergeCell ref="A1:H1"/>
  </mergeCells>
  <conditionalFormatting sqref="G3:G254">
    <cfRule type="cellIs" dxfId="13" priority="1" stopIfTrue="1" operator="notEqual">
      <formula>0</formula>
    </cfRule>
    <cfRule type="expression" dxfId="12" priority="2" stopIfTrue="1">
      <formula>AND(E3="",F3="")</formula>
    </cfRule>
  </conditionalFormatting>
  <conditionalFormatting sqref="H3:H254">
    <cfRule type="expression" dxfId="11" priority="3" stopIfTrue="1">
      <formula>H3="Clasificado"</formula>
    </cfRule>
    <cfRule type="expression" dxfId="10" priority="4" stopIfTrue="1">
      <formula>H3="Revisar"</formula>
    </cfRule>
    <cfRule type="expression" dxfId="9" priority="5" stopIfTrue="1">
      <formula>H3="Sin revisar"</formula>
    </cfRule>
  </conditionalFormatting>
  <dataValidations count="1">
    <dataValidation type="whole" operator="greaterThanOrEqual" allowBlank="1" showErrorMessage="1" errorTitle="Cantidad inválida" error="Escribe un número entero mayor o igual a 0." sqref="E3:F254" xr:uid="{0CD47F29-491E-4113-9E79-0317E377456C}">
      <formula1>0</formula1>
    </dataValidation>
  </dataValidation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617A-CB01-41CB-85AD-A1FA3657A138}">
  <dimension ref="A1:D19"/>
  <sheetViews>
    <sheetView workbookViewId="0"/>
  </sheetViews>
  <sheetFormatPr baseColWidth="10" defaultColWidth="8.1640625" defaultRowHeight="14.5" x14ac:dyDescent="0.35"/>
  <cols>
    <col min="1" max="1" width="29.9140625" customWidth="1"/>
    <col min="2" max="2" width="16.83203125" customWidth="1"/>
    <col min="3" max="3" width="3.75" customWidth="1"/>
    <col min="4" max="4" width="37.4140625" customWidth="1"/>
    <col min="5" max="5" width="8.1640625" customWidth="1"/>
  </cols>
  <sheetData>
    <row r="1" spans="1:4" ht="24" customHeight="1" x14ac:dyDescent="0.35">
      <c r="A1" s="23" t="s">
        <v>526</v>
      </c>
      <c r="B1" s="23"/>
    </row>
    <row r="3" spans="1:4" ht="15" customHeight="1" x14ac:dyDescent="0.35">
      <c r="A3" s="7" t="s">
        <v>527</v>
      </c>
      <c r="B3" s="8">
        <f>COUNTA(Clasificación!C3:C254)</f>
        <v>252</v>
      </c>
    </row>
    <row r="4" spans="1:4" ht="15" customHeight="1" x14ac:dyDescent="0.35">
      <c r="A4" s="7" t="s">
        <v>528</v>
      </c>
      <c r="B4" s="8">
        <f>SUM(Clasificación!D3:D254)</f>
        <v>1884</v>
      </c>
    </row>
    <row r="5" spans="1:4" ht="15" customHeight="1" x14ac:dyDescent="0.35">
      <c r="A5" s="7" t="s">
        <v>529</v>
      </c>
      <c r="B5" s="8">
        <f>SUM(Clasificación!E3:E254)</f>
        <v>1851</v>
      </c>
    </row>
    <row r="6" spans="1:4" ht="15" customHeight="1" x14ac:dyDescent="0.35">
      <c r="A6" s="7" t="s">
        <v>530</v>
      </c>
      <c r="B6" s="8">
        <f>SUM(Clasificación!F3:F254)</f>
        <v>33</v>
      </c>
    </row>
    <row r="7" spans="1:4" ht="15" customHeight="1" x14ac:dyDescent="0.35">
      <c r="A7" s="7" t="s">
        <v>531</v>
      </c>
      <c r="B7" s="8">
        <f>B4-B5-B6</f>
        <v>0</v>
      </c>
    </row>
    <row r="8" spans="1:4" ht="15" customHeight="1" x14ac:dyDescent="0.35">
      <c r="A8" s="7" t="s">
        <v>532</v>
      </c>
      <c r="B8" s="14">
        <f>IFERROR(B5/(B5+B6),0)</f>
        <v>0.98248407643312097</v>
      </c>
    </row>
    <row r="9" spans="1:4" ht="15" customHeight="1" x14ac:dyDescent="0.35">
      <c r="A9" s="7" t="s">
        <v>533</v>
      </c>
      <c r="B9" s="14">
        <f>IFERROR(B6/(B5+B6),0)</f>
        <v>1.751592356687898E-2</v>
      </c>
    </row>
    <row r="10" spans="1:4" ht="15" customHeight="1" x14ac:dyDescent="0.35">
      <c r="A10" s="7" t="s">
        <v>534</v>
      </c>
      <c r="B10" s="8">
        <f>COUNTIF(Clasificación!H3:H254,"Clasificado")</f>
        <v>247</v>
      </c>
    </row>
    <row r="11" spans="1:4" ht="15" customHeight="1" x14ac:dyDescent="0.35">
      <c r="A11" s="7" t="s">
        <v>535</v>
      </c>
      <c r="B11" s="8">
        <f>COUNTIF(Clasificación!H3:H254,"Revisar")</f>
        <v>5</v>
      </c>
    </row>
    <row r="12" spans="1:4" ht="15" customHeight="1" x14ac:dyDescent="0.35">
      <c r="A12" s="7" t="s">
        <v>536</v>
      </c>
      <c r="B12" s="8">
        <f>COUNTIF(Clasificación!H3:H254,"Sin revisar")</f>
        <v>0</v>
      </c>
    </row>
    <row r="13" spans="1:4" ht="15" customHeight="1" x14ac:dyDescent="0.35">
      <c r="A13" s="7" t="s">
        <v>537</v>
      </c>
      <c r="B13" s="14">
        <f>IFERROR((B3-B12)/B3,0)</f>
        <v>1</v>
      </c>
    </row>
    <row r="16" spans="1:4" ht="15" customHeight="1" x14ac:dyDescent="0.35">
      <c r="A16" s="24" t="s">
        <v>538</v>
      </c>
      <c r="B16" s="24"/>
      <c r="C16" s="24"/>
      <c r="D16" s="24"/>
    </row>
    <row r="17" spans="1:4" ht="15" customHeight="1" x14ac:dyDescent="0.35">
      <c r="A17" s="24"/>
      <c r="B17" s="24"/>
      <c r="C17" s="24"/>
      <c r="D17" s="24"/>
    </row>
    <row r="18" spans="1:4" ht="15" customHeight="1" x14ac:dyDescent="0.35">
      <c r="A18" s="24"/>
      <c r="B18" s="24"/>
      <c r="C18" s="24"/>
      <c r="D18" s="24"/>
    </row>
    <row r="19" spans="1:4" ht="15" customHeight="1" x14ac:dyDescent="0.35">
      <c r="A19" s="24"/>
      <c r="B19" s="24"/>
      <c r="C19" s="24"/>
      <c r="D19" s="24"/>
    </row>
  </sheetData>
  <mergeCells count="2">
    <mergeCell ref="A1:B1"/>
    <mergeCell ref="A16:D19"/>
  </mergeCell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9541-53D2-43EE-812B-E0016A02AE39}">
  <dimension ref="A1:G32"/>
  <sheetViews>
    <sheetView workbookViewId="0">
      <selection sqref="A1:G1"/>
    </sheetView>
  </sheetViews>
  <sheetFormatPr baseColWidth="10" defaultColWidth="8.1640625" defaultRowHeight="14.5" x14ac:dyDescent="0.35"/>
  <cols>
    <col min="1" max="1" width="15" customWidth="1"/>
    <col min="2" max="2" width="16.83203125" customWidth="1"/>
    <col min="3" max="3" width="15" customWidth="1"/>
    <col min="4" max="4" width="21.6640625" bestFit="1" customWidth="1"/>
    <col min="5" max="5" width="29.25" bestFit="1" customWidth="1"/>
    <col min="6" max="6" width="15" customWidth="1"/>
    <col min="7" max="7" width="11.25" customWidth="1"/>
    <col min="8" max="8" width="8.1640625" customWidth="1"/>
  </cols>
  <sheetData>
    <row r="1" spans="1:7" ht="24" customHeight="1" x14ac:dyDescent="0.35">
      <c r="A1" s="22" t="s">
        <v>539</v>
      </c>
      <c r="B1" s="22"/>
      <c r="C1" s="22"/>
      <c r="D1" s="22"/>
      <c r="E1" s="22"/>
      <c r="F1" s="22"/>
      <c r="G1" s="22"/>
    </row>
    <row r="2" spans="1:7" ht="15" customHeight="1" x14ac:dyDescent="0.35">
      <c r="A2" s="6" t="s">
        <v>540</v>
      </c>
      <c r="B2" s="6" t="s">
        <v>541</v>
      </c>
      <c r="C2" s="6" t="s">
        <v>542</v>
      </c>
      <c r="D2" s="6" t="s">
        <v>543</v>
      </c>
      <c r="E2" s="6" t="s">
        <v>544</v>
      </c>
      <c r="F2" s="6" t="s">
        <v>545</v>
      </c>
      <c r="G2" s="6" t="s">
        <v>546</v>
      </c>
    </row>
    <row r="3" spans="1:7" ht="15" customHeight="1" x14ac:dyDescent="0.35">
      <c r="A3" s="15" t="s">
        <v>547</v>
      </c>
      <c r="B3" s="7" t="s">
        <v>548</v>
      </c>
      <c r="C3" s="8" t="str">
        <f t="shared" ref="C3:C23" si="0">IF(OR(A3="CATAR",A3="COTTON"),"Tela nueva","Tela antigua")</f>
        <v>Tela antigua</v>
      </c>
      <c r="D3" s="10">
        <v>160</v>
      </c>
      <c r="E3" s="9">
        <v>160</v>
      </c>
      <c r="F3" s="10">
        <f t="shared" ref="F3:F23" si="1">IF(E3="","",IF(D3="","Sin inicial",D3-E3))</f>
        <v>0</v>
      </c>
      <c r="G3" s="16">
        <f t="shared" ref="G3:G23" si="2">IF(E3="","",IF(OR(D3="",D3=0),"Nuevo color",E3/D3))</f>
        <v>1</v>
      </c>
    </row>
    <row r="4" spans="1:7" ht="15" customHeight="1" x14ac:dyDescent="0.35">
      <c r="A4" s="17" t="s">
        <v>547</v>
      </c>
      <c r="B4" s="11" t="s">
        <v>549</v>
      </c>
      <c r="C4" s="8" t="str">
        <f t="shared" si="0"/>
        <v>Tela antigua</v>
      </c>
      <c r="D4" s="18">
        <v>67</v>
      </c>
      <c r="E4" s="9">
        <v>67</v>
      </c>
      <c r="F4" s="10">
        <f t="shared" si="1"/>
        <v>0</v>
      </c>
      <c r="G4" s="16">
        <f t="shared" si="2"/>
        <v>1</v>
      </c>
    </row>
    <row r="5" spans="1:7" ht="15" customHeight="1" x14ac:dyDescent="0.35">
      <c r="A5" s="15" t="s">
        <v>550</v>
      </c>
      <c r="B5" s="7" t="s">
        <v>551</v>
      </c>
      <c r="C5" s="8" t="str">
        <f t="shared" si="0"/>
        <v>Tela nueva</v>
      </c>
      <c r="D5" s="10">
        <v>28</v>
      </c>
      <c r="E5" s="9">
        <v>40.4</v>
      </c>
      <c r="F5" s="10">
        <f t="shared" si="1"/>
        <v>-12.399999999999999</v>
      </c>
      <c r="G5" s="16">
        <f t="shared" si="2"/>
        <v>1.4428571428571428</v>
      </c>
    </row>
    <row r="6" spans="1:7" ht="15" customHeight="1" x14ac:dyDescent="0.35">
      <c r="A6" s="17" t="s">
        <v>552</v>
      </c>
      <c r="B6" s="11" t="s">
        <v>553</v>
      </c>
      <c r="C6" s="8" t="str">
        <f t="shared" si="0"/>
        <v>Tela antigua</v>
      </c>
      <c r="D6" s="18">
        <v>62</v>
      </c>
      <c r="E6" s="9">
        <v>62</v>
      </c>
      <c r="F6" s="10">
        <f t="shared" si="1"/>
        <v>0</v>
      </c>
      <c r="G6" s="16">
        <f t="shared" si="2"/>
        <v>1</v>
      </c>
    </row>
    <row r="7" spans="1:7" ht="15" customHeight="1" x14ac:dyDescent="0.35">
      <c r="A7" s="15" t="s">
        <v>552</v>
      </c>
      <c r="B7" s="7" t="s">
        <v>554</v>
      </c>
      <c r="C7" s="8" t="str">
        <f t="shared" si="0"/>
        <v>Tela antigua</v>
      </c>
      <c r="D7" s="10">
        <v>50</v>
      </c>
      <c r="E7" s="9">
        <v>50</v>
      </c>
      <c r="F7" s="10">
        <f t="shared" si="1"/>
        <v>0</v>
      </c>
      <c r="G7" s="16">
        <f t="shared" si="2"/>
        <v>1</v>
      </c>
    </row>
    <row r="8" spans="1:7" ht="15" customHeight="1" x14ac:dyDescent="0.35">
      <c r="A8" s="15" t="s">
        <v>555</v>
      </c>
      <c r="B8" s="7" t="s">
        <v>554</v>
      </c>
      <c r="C8" s="8" t="str">
        <f t="shared" si="0"/>
        <v>Tela nueva</v>
      </c>
      <c r="D8" s="10">
        <v>0</v>
      </c>
      <c r="E8" s="9">
        <v>59.5</v>
      </c>
      <c r="F8" s="10">
        <f t="shared" si="1"/>
        <v>-59.5</v>
      </c>
      <c r="G8" s="16" t="str">
        <f t="shared" si="2"/>
        <v>Nuevo color</v>
      </c>
    </row>
    <row r="9" spans="1:7" ht="15" customHeight="1" x14ac:dyDescent="0.35">
      <c r="A9" s="15" t="s">
        <v>555</v>
      </c>
      <c r="B9" s="7" t="s">
        <v>549</v>
      </c>
      <c r="C9" s="8" t="str">
        <f t="shared" si="0"/>
        <v>Tela nueva</v>
      </c>
      <c r="D9" s="10">
        <v>0</v>
      </c>
      <c r="E9" s="9">
        <v>66.849999999999994</v>
      </c>
      <c r="F9" s="10">
        <f t="shared" si="1"/>
        <v>-66.849999999999994</v>
      </c>
      <c r="G9" s="16" t="str">
        <f t="shared" si="2"/>
        <v>Nuevo color</v>
      </c>
    </row>
    <row r="10" spans="1:7" ht="15" customHeight="1" x14ac:dyDescent="0.35">
      <c r="A10" s="17" t="s">
        <v>555</v>
      </c>
      <c r="B10" s="11" t="s">
        <v>556</v>
      </c>
      <c r="C10" s="8" t="str">
        <f t="shared" si="0"/>
        <v>Tela nueva</v>
      </c>
      <c r="D10" s="18">
        <v>50</v>
      </c>
      <c r="E10" s="9">
        <v>48</v>
      </c>
      <c r="F10" s="10">
        <f t="shared" si="1"/>
        <v>2</v>
      </c>
      <c r="G10" s="16">
        <f t="shared" si="2"/>
        <v>0.96</v>
      </c>
    </row>
    <row r="11" spans="1:7" ht="15" customHeight="1" x14ac:dyDescent="0.35">
      <c r="A11" s="15" t="s">
        <v>555</v>
      </c>
      <c r="B11" s="7" t="s">
        <v>548</v>
      </c>
      <c r="C11" s="8" t="str">
        <f t="shared" si="0"/>
        <v>Tela nueva</v>
      </c>
      <c r="D11" s="10">
        <v>35.6</v>
      </c>
      <c r="E11" s="9">
        <v>98.1</v>
      </c>
      <c r="F11" s="10">
        <f t="shared" si="1"/>
        <v>-62.499999999999993</v>
      </c>
      <c r="G11" s="16">
        <f t="shared" si="2"/>
        <v>2.7556179775280896</v>
      </c>
    </row>
    <row r="12" spans="1:7" ht="15" customHeight="1" x14ac:dyDescent="0.35">
      <c r="A12" s="17" t="s">
        <v>555</v>
      </c>
      <c r="B12" s="11" t="s">
        <v>557</v>
      </c>
      <c r="C12" s="8" t="str">
        <f t="shared" si="0"/>
        <v>Tela nueva</v>
      </c>
      <c r="D12" s="18">
        <v>45</v>
      </c>
      <c r="E12" s="9">
        <v>45</v>
      </c>
      <c r="F12" s="10">
        <f t="shared" si="1"/>
        <v>0</v>
      </c>
      <c r="G12" s="16">
        <f t="shared" si="2"/>
        <v>1</v>
      </c>
    </row>
    <row r="13" spans="1:7" ht="15" customHeight="1" x14ac:dyDescent="0.35">
      <c r="A13" s="15" t="s">
        <v>555</v>
      </c>
      <c r="B13" s="7" t="s">
        <v>558</v>
      </c>
      <c r="C13" s="8" t="str">
        <f t="shared" si="0"/>
        <v>Tela nueva</v>
      </c>
      <c r="D13" s="10">
        <v>30</v>
      </c>
      <c r="E13" s="9">
        <v>71</v>
      </c>
      <c r="F13" s="10">
        <f t="shared" si="1"/>
        <v>-41</v>
      </c>
      <c r="G13" s="16">
        <f t="shared" si="2"/>
        <v>2.3666666666666667</v>
      </c>
    </row>
    <row r="14" spans="1:7" ht="15" customHeight="1" x14ac:dyDescent="0.35">
      <c r="A14" s="17" t="s">
        <v>552</v>
      </c>
      <c r="B14" s="11" t="s">
        <v>559</v>
      </c>
      <c r="C14" s="8" t="str">
        <f t="shared" si="0"/>
        <v>Tela antigua</v>
      </c>
      <c r="D14" s="18">
        <v>40</v>
      </c>
      <c r="E14" s="9">
        <v>40</v>
      </c>
      <c r="F14" s="10">
        <f t="shared" si="1"/>
        <v>0</v>
      </c>
      <c r="G14" s="16">
        <f t="shared" si="2"/>
        <v>1</v>
      </c>
    </row>
    <row r="15" spans="1:7" ht="15" customHeight="1" x14ac:dyDescent="0.35">
      <c r="A15" s="15" t="s">
        <v>552</v>
      </c>
      <c r="B15" s="7" t="s">
        <v>560</v>
      </c>
      <c r="C15" s="8" t="str">
        <f t="shared" si="0"/>
        <v>Tela antigua</v>
      </c>
      <c r="D15" s="10">
        <v>15</v>
      </c>
      <c r="E15" s="9">
        <v>15</v>
      </c>
      <c r="F15" s="10">
        <f t="shared" si="1"/>
        <v>0</v>
      </c>
      <c r="G15" s="16">
        <f t="shared" si="2"/>
        <v>1</v>
      </c>
    </row>
    <row r="16" spans="1:7" ht="15" customHeight="1" x14ac:dyDescent="0.35">
      <c r="A16" s="17" t="s">
        <v>552</v>
      </c>
      <c r="B16" s="11" t="s">
        <v>561</v>
      </c>
      <c r="C16" s="8" t="str">
        <f t="shared" si="0"/>
        <v>Tela antigua</v>
      </c>
      <c r="D16" s="18">
        <v>15</v>
      </c>
      <c r="E16" s="9">
        <v>15</v>
      </c>
      <c r="F16" s="10">
        <f t="shared" si="1"/>
        <v>0</v>
      </c>
      <c r="G16" s="16">
        <f t="shared" si="2"/>
        <v>1</v>
      </c>
    </row>
    <row r="17" spans="1:7" ht="15" customHeight="1" x14ac:dyDescent="0.35">
      <c r="A17" s="15" t="s">
        <v>552</v>
      </c>
      <c r="B17" s="7" t="s">
        <v>562</v>
      </c>
      <c r="C17" s="8" t="str">
        <f t="shared" si="0"/>
        <v>Tela antigua</v>
      </c>
      <c r="D17" s="10">
        <v>25</v>
      </c>
      <c r="E17" s="9">
        <v>25</v>
      </c>
      <c r="F17" s="10">
        <f t="shared" si="1"/>
        <v>0</v>
      </c>
      <c r="G17" s="16">
        <f t="shared" si="2"/>
        <v>1</v>
      </c>
    </row>
    <row r="18" spans="1:7" ht="15" customHeight="1" x14ac:dyDescent="0.35">
      <c r="A18" s="17" t="s">
        <v>552</v>
      </c>
      <c r="B18" s="11" t="s">
        <v>557</v>
      </c>
      <c r="C18" s="8" t="str">
        <f t="shared" si="0"/>
        <v>Tela antigua</v>
      </c>
      <c r="D18" s="18">
        <v>15</v>
      </c>
      <c r="E18" s="9">
        <v>15</v>
      </c>
      <c r="F18" s="10">
        <f t="shared" si="1"/>
        <v>0</v>
      </c>
      <c r="G18" s="16">
        <f t="shared" si="2"/>
        <v>1</v>
      </c>
    </row>
    <row r="19" spans="1:7" ht="15" customHeight="1" x14ac:dyDescent="0.35">
      <c r="A19" s="15" t="s">
        <v>552</v>
      </c>
      <c r="B19" s="7" t="s">
        <v>563</v>
      </c>
      <c r="C19" s="8" t="str">
        <f t="shared" si="0"/>
        <v>Tela antigua</v>
      </c>
      <c r="D19" s="10">
        <v>12</v>
      </c>
      <c r="E19" s="9">
        <v>12</v>
      </c>
      <c r="F19" s="10">
        <f t="shared" si="1"/>
        <v>0</v>
      </c>
      <c r="G19" s="16">
        <f t="shared" si="2"/>
        <v>1</v>
      </c>
    </row>
    <row r="20" spans="1:7" ht="15" customHeight="1" x14ac:dyDescent="0.35">
      <c r="A20" s="17" t="s">
        <v>552</v>
      </c>
      <c r="B20" s="11" t="s">
        <v>564</v>
      </c>
      <c r="C20" s="8" t="str">
        <f t="shared" si="0"/>
        <v>Tela antigua</v>
      </c>
      <c r="D20" s="18">
        <v>50</v>
      </c>
      <c r="E20" s="9">
        <v>50</v>
      </c>
      <c r="F20" s="10">
        <f t="shared" si="1"/>
        <v>0</v>
      </c>
      <c r="G20" s="16">
        <f t="shared" si="2"/>
        <v>1</v>
      </c>
    </row>
    <row r="21" spans="1:7" ht="15" customHeight="1" x14ac:dyDescent="0.35">
      <c r="A21" s="15" t="s">
        <v>552</v>
      </c>
      <c r="B21" s="7" t="s">
        <v>565</v>
      </c>
      <c r="C21" s="8" t="str">
        <f t="shared" si="0"/>
        <v>Tela antigua</v>
      </c>
      <c r="D21" s="10">
        <v>35</v>
      </c>
      <c r="E21" s="9">
        <v>35</v>
      </c>
      <c r="F21" s="10">
        <f t="shared" si="1"/>
        <v>0</v>
      </c>
      <c r="G21" s="16">
        <f t="shared" si="2"/>
        <v>1</v>
      </c>
    </row>
    <row r="22" spans="1:7" ht="15" customHeight="1" x14ac:dyDescent="0.35">
      <c r="A22" s="17" t="s">
        <v>552</v>
      </c>
      <c r="B22" s="11" t="s">
        <v>566</v>
      </c>
      <c r="C22" s="8" t="str">
        <f t="shared" si="0"/>
        <v>Tela antigua</v>
      </c>
      <c r="D22" s="18">
        <v>10</v>
      </c>
      <c r="E22" s="9">
        <v>10</v>
      </c>
      <c r="F22" s="10">
        <f t="shared" si="1"/>
        <v>0</v>
      </c>
      <c r="G22" s="16">
        <f t="shared" si="2"/>
        <v>1</v>
      </c>
    </row>
    <row r="23" spans="1:7" ht="15" customHeight="1" x14ac:dyDescent="0.35">
      <c r="A23" s="15" t="s">
        <v>552</v>
      </c>
      <c r="B23" s="7" t="s">
        <v>567</v>
      </c>
      <c r="C23" s="8" t="str">
        <f t="shared" si="0"/>
        <v>Tela antigua</v>
      </c>
      <c r="D23" s="10">
        <v>10</v>
      </c>
      <c r="E23" s="9">
        <v>10</v>
      </c>
      <c r="F23" s="10">
        <f t="shared" si="1"/>
        <v>0</v>
      </c>
      <c r="G23" s="16">
        <f t="shared" si="2"/>
        <v>1</v>
      </c>
    </row>
    <row r="24" spans="1:7" ht="15" customHeight="1" x14ac:dyDescent="0.35"/>
    <row r="25" spans="1:7" ht="15" customHeight="1" x14ac:dyDescent="0.35">
      <c r="A25" s="25" t="s">
        <v>568</v>
      </c>
      <c r="B25" s="25"/>
      <c r="C25" s="25"/>
      <c r="D25" s="19">
        <f>SUM(D3:D23)</f>
        <v>754.6</v>
      </c>
      <c r="E25" s="19">
        <f>SUM(E3:E23)</f>
        <v>994.85</v>
      </c>
      <c r="F25" s="19">
        <f>SUM(F3:F23)</f>
        <v>-240.25</v>
      </c>
      <c r="G25" s="13"/>
    </row>
    <row r="26" spans="1:7" ht="15" customHeight="1" x14ac:dyDescent="0.35"/>
    <row r="27" spans="1:7" s="21" customFormat="1" ht="53.3" customHeight="1" x14ac:dyDescent="0.35">
      <c r="A27" s="20" t="s">
        <v>569</v>
      </c>
      <c r="B27" s="8">
        <f>SUMIF(C3:C23,"Tela nueva",D3:D23)</f>
        <v>188.6</v>
      </c>
      <c r="C27" s="21" t="s">
        <v>570</v>
      </c>
    </row>
    <row r="28" spans="1:7" s="21" customFormat="1" ht="58.6" customHeight="1" x14ac:dyDescent="0.35">
      <c r="A28" s="20" t="s">
        <v>571</v>
      </c>
      <c r="B28" s="8">
        <f>SUMIF(C3:C23,"Tela antigua",D3:D23)</f>
        <v>566</v>
      </c>
      <c r="C28" s="21" t="s">
        <v>572</v>
      </c>
    </row>
    <row r="29" spans="1:7" ht="15" customHeight="1" x14ac:dyDescent="0.35"/>
    <row r="30" spans="1:7" ht="15" customHeight="1" x14ac:dyDescent="0.35">
      <c r="A30" s="26" t="s">
        <v>573</v>
      </c>
      <c r="B30" s="26"/>
      <c r="C30" s="26"/>
      <c r="D30" s="26"/>
      <c r="E30" s="26"/>
      <c r="F30" s="26"/>
      <c r="G30" s="26"/>
    </row>
    <row r="31" spans="1:7" ht="15" customHeight="1" x14ac:dyDescent="0.35">
      <c r="A31" s="26"/>
      <c r="B31" s="26"/>
      <c r="C31" s="26"/>
      <c r="D31" s="26"/>
      <c r="E31" s="26"/>
      <c r="F31" s="26"/>
      <c r="G31" s="26"/>
    </row>
    <row r="32" spans="1:7" ht="15" customHeight="1" x14ac:dyDescent="0.35">
      <c r="A32" s="26"/>
      <c r="B32" s="26"/>
      <c r="C32" s="26"/>
      <c r="D32" s="26"/>
      <c r="E32" s="26"/>
      <c r="F32" s="26"/>
      <c r="G32" s="26"/>
    </row>
  </sheetData>
  <mergeCells count="3">
    <mergeCell ref="A1:G1"/>
    <mergeCell ref="A25:C25"/>
    <mergeCell ref="A30:G32"/>
  </mergeCells>
  <conditionalFormatting sqref="C3:C22">
    <cfRule type="expression" dxfId="8" priority="8" stopIfTrue="1">
      <formula>C3="Tela antigua"</formula>
    </cfRule>
    <cfRule type="expression" dxfId="7" priority="9" stopIfTrue="1">
      <formula>C3="Tela nueva"</formula>
    </cfRule>
  </conditionalFormatting>
  <conditionalFormatting sqref="C3:C23">
    <cfRule type="expression" dxfId="6" priority="6" stopIfTrue="1">
      <formula>C3="Tela antigua"</formula>
    </cfRule>
    <cfRule type="expression" dxfId="5" priority="7" stopIfTrue="1">
      <formula>C3="Tela nueva"</formula>
    </cfRule>
  </conditionalFormatting>
  <conditionalFormatting sqref="F3:F23">
    <cfRule type="expression" dxfId="4" priority="10" stopIfTrue="1">
      <formula>AND(ISNUMBER(F3),F3&lt;0)</formula>
    </cfRule>
  </conditionalFormatting>
  <conditionalFormatting sqref="G3:G22">
    <cfRule type="expression" dxfId="3" priority="11" stopIfTrue="1">
      <formula>AND(G3&lt;&gt;"",G3&lt;0.15)</formula>
    </cfRule>
  </conditionalFormatting>
  <conditionalFormatting sqref="G3:G23">
    <cfRule type="expression" dxfId="2" priority="12" stopIfTrue="1">
      <formula>AND(ISNUMBER(G3),G3&lt;0.15)</formula>
    </cfRule>
    <cfRule type="expression" dxfId="1" priority="13" stopIfTrue="1">
      <formula>AND(ISNUMBER(G3),G3&gt;1)</formula>
    </cfRule>
    <cfRule type="expression" dxfId="0" priority="14" stopIfTrue="1">
      <formula>ISTEXT(G3)</formula>
    </cfRule>
  </conditionalFormatting>
  <dataValidations count="1">
    <dataValidation type="decimal" operator="greaterThanOrEqual" allowBlank="1" showErrorMessage="1" errorTitle="Cantidad inválida" error="Escribe un número mayor o igual a 0." sqref="E3:E23" xr:uid="{6B4135D9-1778-4838-9BA9-A4B639FAAFC2}">
      <formula1>0</formula1>
    </dataValidation>
  </dataValidations>
  <pageMargins left="0.75000000000000011" right="0.75000000000000011" top="1.0000000000000002" bottom="1.0000000000000002" header="0.511811023622047" footer="0.511811023622047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Clasificación</vt:lpstr>
      <vt:lpstr>Resumen</vt:lpstr>
      <vt:lpstr>Inventario_de_Telas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Klixmant Store</cp:lastModifiedBy>
  <cp:revision>0</cp:revision>
  <dcterms:created xsi:type="dcterms:W3CDTF">2026-08-12T15:44:22Z</dcterms:created>
  <dcterms:modified xsi:type="dcterms:W3CDTF">2026-08-15T18:15:48Z</dcterms:modified>
</cp:coreProperties>
</file>